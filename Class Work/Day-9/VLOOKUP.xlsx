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9\"/>
    </mc:Choice>
  </mc:AlternateContent>
  <xr:revisionPtr revIDLastSave="0" documentId="8_{0F315B03-1281-4E54-B063-26032AE3AB97}" xr6:coauthVersionLast="47" xr6:coauthVersionMax="47" xr10:uidLastSave="{00000000-0000-0000-0000-000000000000}"/>
  <bookViews>
    <workbookView xWindow="-108" yWindow="-108" windowWidth="23256" windowHeight="12456" xr2:uid="{E652D4BA-C273-4067-93AB-0D23DE956FF6}"/>
  </bookViews>
  <sheets>
    <sheet name="V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R20" i="1"/>
  <c r="R19" i="1"/>
  <c r="R18" i="1"/>
  <c r="U17" i="1"/>
  <c r="R17" i="1"/>
  <c r="R12" i="1" a="1"/>
  <c r="AC9" i="1"/>
  <c r="R8" i="1"/>
  <c r="R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<sst xmlns="http://schemas.openxmlformats.org/spreadsheetml/2006/main" count="219" uniqueCount="68">
  <si>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</si>
  <si>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</si>
  <si>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</si>
  <si>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</si>
  <si>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</si>
  <si>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</si>
  <si>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</si>
  <si>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</si>
  <si>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</si>
  <si>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</si>
  <si>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</si>
  <si>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</si>
  <si>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</si>
  <si>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</si>
  <si>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</si>
  <si>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</si>
  <si>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</si>
  <si>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</si>
  <si>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</si>
  <si>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</si>
  <si>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</si>
  <si>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</si>
  <si>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</si>
  <si>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</si>
  <si>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</si>
  <si>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</si>
  <si>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</si>
  <si>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</si>
  <si>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</si>
  <si>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</si>
  <si>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</si>
  <si>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</si>
  <si>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</si>
  <si>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</si>
  <si>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</si>
  <si>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</si>
  <si>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</si>
  <si>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</si>
  <si>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</si>
  <si>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</si>
  <si>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</si>
  <si>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</si>
  <si>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</si>
  <si>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</si>
  <si>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Marks</t>
  </si>
  <si>
    <t>Category</t>
  </si>
  <si>
    <t>UPI</t>
  </si>
  <si>
    <t>BrandC</t>
  </si>
  <si>
    <t>Fail</t>
  </si>
  <si>
    <t>Mumbai</t>
  </si>
  <si>
    <t>BrandB</t>
  </si>
  <si>
    <t>C</t>
  </si>
  <si>
    <t>T-Shirt</t>
  </si>
  <si>
    <t>B</t>
  </si>
  <si>
    <t>Electronics</t>
  </si>
  <si>
    <t>Headphones</t>
  </si>
  <si>
    <t>A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</si>
  <si>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</si>
  <si>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</si>
  <si>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</si>
  <si>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</si>
  <si>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</si>
  <si>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</si>
  <si>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</si>
  <si>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</si>
  <si>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Nandigram</t>
  </si>
  <si>
    <t>Comics</t>
  </si>
  <si>
    <t>Perfume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</si>
</sst>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14" fontId="0" fillId="2" borderId="3" xfId="0" applyNumberFormat="1" applyFill="1" applyBorder="1"/>
    <xf numFmtId="0" fontId="1" fillId="0" borderId="4" xfId="0" applyFont="1" applyBorder="1"/>
    <xf numFmtId="0" fontId="0" fillId="3" borderId="2" xfId="0" applyFill="1" applyBorder="1"/>
    <xf numFmtId="0" fontId="0" fillId="3" borderId="3" xfId="0" applyFill="1" applyBorder="1"/>
    <xf numFmtId="14" fontId="0" fillId="3" borderId="3" xfId="0" applyNumberFormat="1" applyFill="1" applyBorder="1"/>
    <xf numFmtId="0" fontId="0" fillId="0" borderId="4" xfId="0" applyBorder="1"/>
    <xf numFmtId="0" fontId="0" fillId="3" borderId="4" xfId="0" applyFill="1" applyBorder="1"/>
    <xf numFmtId="14" fontId="0" fillId="3" borderId="4" xfId="0" applyNumberFormat="1" applyFill="1" applyBorder="1"/>
    <xf numFmtId="0" fontId="2" fillId="4" borderId="0" xfId="0" applyFont="1" applyFill="1"/>
    <xf numFmtId="0" fontId="2" fillId="4" borderId="1" xfId="0" applyFont="1" applyFill="1" applyBorder="1"/>
    <xf numFmtId="0" fontId="1" fillId="4" borderId="4" xfId="0" applyFont="1" applyFill="1" applyBorder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6EFE9-3859-47C1-8B47-84FE00C450E3}" name="Table3" displayName="Table3" ref="A1:O27" totalsRowShown="0" headerRowDxfId="0" dataDxfId="17" tableBorderDxfId="16">
  <autoFilter ref="A1:O27" xr:uid="{25A6EFE9-3859-47C1-8B47-84FE00C450E3}"/>
  <tableColumns count="15">
    <tableColumn id="1" xr3:uid="{0A81859E-4108-4E9A-9FA5-3C9E65F9F5B7}" name="Order ID" dataDxfId="15"/>
    <tableColumn id="2" xr3:uid="{6D45D726-E8AD-43CB-AB35-C3EC7C56DA21}" name="Customer ID" dataDxfId="14"/>
    <tableColumn id="3" xr3:uid="{F6B36646-D4F8-42F8-855E-493BC83CA10C}" name="Order Date" dataDxfId="13"/>
    <tableColumn id="4" xr3:uid="{1776D2FD-A58A-4033-9C0A-A53A9207BEE4}" name="Ship Date" dataDxfId="12"/>
    <tableColumn id="5" xr3:uid="{4729A06D-C8F1-44DD-A6E2-47EC1DAF0EA1}" name="City" dataDxfId="11"/>
    <tableColumn id="6" xr3:uid="{58CBCB2C-F00C-46D7-8355-71A0D3A343D4}" name="State" dataDxfId="10"/>
    <tableColumn id="7" xr3:uid="{CBD4ECBE-0329-4ADC-B61A-0A900E549046}" name="Sales Channel" dataDxfId="9"/>
    <tableColumn id="8" xr3:uid="{2D4FE6F0-8454-4173-9E80-91117C3922F5}" name="Payment Method" dataDxfId="8"/>
    <tableColumn id="9" xr3:uid="{414514F2-E741-49BC-BD4D-8344CB794846}" name="Product Category" dataDxfId="7"/>
    <tableColumn id="10" xr3:uid="{3517FF1A-3EE5-4F13-BA4A-12018C9F4219}" name="Product Name" dataDxfId="6"/>
    <tableColumn id="11" xr3:uid="{2459AECC-65C7-4870-96CF-BC8C9B2531A0}" name="Brand" dataDxfId="5"/>
    <tableColumn id="12" xr3:uid="{8E12C43F-2503-460C-A3AC-44D0FE907912}" name="Units Sold" dataDxfId="4"/>
    <tableColumn id="13" xr3:uid="{4A80FAE0-7A73-44EE-842D-2570439DD71E}" name="Unit Price" dataDxfId="3"/>
    <tableColumn id="14" xr3:uid="{4873ACB2-BE89-413D-8447-6037FBD736CB}" name="Discount %" dataDxfId="2"/>
    <tableColumn id="15" xr3:uid="{4E216DF4-3400-462E-8C80-9BB8B8B97E80}" name="Net Sales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7747-0C38-46D6-9D3D-3A6B63707518}">
  <dimension ref="A1:AC27"/>
  <sheetViews>
    <sheetView tabSelected="1" topLeftCell="G1" workbookViewId="0">
      <selection activeCell="S14" sqref="S14"/>
    </sheetView>
  </sheetViews>
  <sheetFormatPr defaultRowHeight="14.4" x14ac:dyDescent="0.3"/>
  <cols>
    <col min="1" max="1" width="10.109375" bestFit="1" customWidth="1"/>
    <col min="2" max="2" width="13.44140625" bestFit="1" customWidth="1"/>
    <col min="3" max="3" width="12.21875" bestFit="1" customWidth="1"/>
    <col min="4" max="4" width="11.21875" bestFit="1" customWidth="1"/>
    <col min="5" max="5" width="9.88671875" bestFit="1" customWidth="1"/>
    <col min="6" max="6" width="11.21875" bestFit="1" customWidth="1"/>
    <col min="7" max="7" width="14.88671875" bestFit="1" customWidth="1"/>
    <col min="8" max="8" width="17.21875" bestFit="1" customWidth="1"/>
    <col min="9" max="9" width="17.5546875" bestFit="1" customWidth="1"/>
    <col min="10" max="10" width="15.109375" bestFit="1" customWidth="1"/>
    <col min="11" max="11" width="8.109375" bestFit="1" customWidth="1"/>
    <col min="12" max="12" width="11.6640625" bestFit="1" customWidth="1"/>
    <col min="13" max="13" width="11.33203125" bestFit="1" customWidth="1"/>
    <col min="14" max="14" width="12.44140625" bestFit="1" customWidth="1"/>
    <col min="15" max="15" width="11.109375" bestFit="1" customWidth="1"/>
    <col min="17" max="17" width="11.21875" bestFit="1" customWidth="1"/>
    <col min="18" max="18" width="9.44140625" bestFit="1" customWidth="1"/>
    <col min="19" max="19" width="15.33203125" bestFit="1" customWidth="1"/>
    <col min="20" max="20" width="11.21875" bestFit="1" customWidth="1"/>
    <col min="21" max="21" width="7.88671875" bestFit="1" customWidth="1"/>
    <col min="25" max="25" width="6" bestFit="1" customWidth="1"/>
    <col min="26" max="26" width="8.33203125" bestFit="1" customWidth="1"/>
    <col min="28" max="28" width="6" bestFit="1" customWidth="1"/>
    <col min="29" max="29" width="8.33203125" bestFit="1" customWidth="1"/>
  </cols>
  <sheetData>
    <row r="1" spans="1:29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29" x14ac:dyDescent="0.3">
      <c r="A2" s="1">
        <v>10001</v>
      </c>
      <c r="B2" s="2">
        <v>1102</v>
      </c>
      <c r="C2" s="3">
        <v>45197</v>
      </c>
      <c r="D2" s="3">
        <v>45203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>
        <v>7</v>
      </c>
      <c r="M2" s="2">
        <v>2843.87</v>
      </c>
      <c r="N2" s="2">
        <v>0</v>
      </c>
      <c r="O2" s="2">
        <v>19907.09</v>
      </c>
      <c r="Q2" s="4" t="s">
        <v>0</v>
      </c>
      <c r="R2" s="4" t="s">
        <v>14</v>
      </c>
    </row>
    <row r="3" spans="1:29" x14ac:dyDescent="0.3">
      <c r="A3" s="5">
        <v>10002</v>
      </c>
      <c r="B3" s="6">
        <v>1435</v>
      </c>
      <c r="C3" s="7">
        <v>45199</v>
      </c>
      <c r="D3" s="7">
        <v>45203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6">
        <v>9</v>
      </c>
      <c r="M3" s="6">
        <v>2525.23</v>
      </c>
      <c r="N3" s="6">
        <v>5</v>
      </c>
      <c r="O3" s="6">
        <v>21590.720000000001</v>
      </c>
      <c r="Q3" s="8">
        <v>10007</v>
      </c>
      <c r="R3" s="8">
        <f>VLOOKUP(Q3, A1:O25,15,0)</f>
        <v>13636.89</v>
      </c>
    </row>
    <row r="4" spans="1:29" x14ac:dyDescent="0.3">
      <c r="A4" s="1">
        <v>10003</v>
      </c>
      <c r="B4" s="2">
        <v>1860</v>
      </c>
      <c r="C4" s="3">
        <v>45109</v>
      </c>
      <c r="D4" s="3">
        <v>45114</v>
      </c>
      <c r="E4" s="2" t="s">
        <v>15</v>
      </c>
      <c r="F4" s="2" t="s">
        <v>29</v>
      </c>
      <c r="G4" s="2" t="s">
        <v>30</v>
      </c>
      <c r="H4" s="2" t="s">
        <v>25</v>
      </c>
      <c r="I4" s="2" t="s">
        <v>31</v>
      </c>
      <c r="J4" s="2" t="s">
        <v>32</v>
      </c>
      <c r="K4" s="2" t="s">
        <v>33</v>
      </c>
      <c r="L4" s="2">
        <v>6</v>
      </c>
      <c r="M4" s="2">
        <v>3474.34</v>
      </c>
      <c r="N4" s="2">
        <v>15</v>
      </c>
      <c r="O4" s="2">
        <v>17719.13</v>
      </c>
    </row>
    <row r="5" spans="1:29" x14ac:dyDescent="0.3">
      <c r="A5" s="5">
        <v>10004</v>
      </c>
      <c r="B5" s="6">
        <v>1270</v>
      </c>
      <c r="C5" s="7">
        <v>45079</v>
      </c>
      <c r="D5" s="7">
        <v>45087</v>
      </c>
      <c r="E5" s="6" t="s">
        <v>34</v>
      </c>
      <c r="F5" s="6" t="s">
        <v>29</v>
      </c>
      <c r="G5" s="6" t="s">
        <v>24</v>
      </c>
      <c r="H5" s="6" t="s">
        <v>35</v>
      </c>
      <c r="I5" s="6" t="s">
        <v>26</v>
      </c>
      <c r="J5" s="6" t="s">
        <v>36</v>
      </c>
      <c r="K5" s="6" t="s">
        <v>21</v>
      </c>
      <c r="L5" s="6">
        <v>1</v>
      </c>
      <c r="M5" s="6">
        <v>1008.79</v>
      </c>
      <c r="N5" s="6">
        <v>15</v>
      </c>
      <c r="O5" s="6">
        <v>857.47</v>
      </c>
    </row>
    <row r="6" spans="1:29" x14ac:dyDescent="0.3">
      <c r="A6" s="1">
        <v>10005</v>
      </c>
      <c r="B6" s="2">
        <v>1106</v>
      </c>
      <c r="C6" s="3">
        <v>45241</v>
      </c>
      <c r="D6" s="3">
        <v>45244</v>
      </c>
      <c r="E6" s="2" t="s">
        <v>37</v>
      </c>
      <c r="F6" s="2" t="s">
        <v>38</v>
      </c>
      <c r="G6" s="2" t="s">
        <v>30</v>
      </c>
      <c r="H6" s="2" t="s">
        <v>18</v>
      </c>
      <c r="I6" s="2" t="s">
        <v>31</v>
      </c>
      <c r="J6" s="2" t="s">
        <v>39</v>
      </c>
      <c r="K6" s="2" t="s">
        <v>21</v>
      </c>
      <c r="L6" s="2">
        <v>7</v>
      </c>
      <c r="M6" s="2">
        <v>3511.47</v>
      </c>
      <c r="N6" s="2">
        <v>20</v>
      </c>
      <c r="O6" s="2">
        <v>19664.23</v>
      </c>
    </row>
    <row r="7" spans="1:29" x14ac:dyDescent="0.3">
      <c r="A7" s="5">
        <v>10006</v>
      </c>
      <c r="B7" s="6">
        <v>1071</v>
      </c>
      <c r="C7" s="7">
        <v>45260</v>
      </c>
      <c r="D7" s="7">
        <v>45263</v>
      </c>
      <c r="E7" s="6" t="s">
        <v>40</v>
      </c>
      <c r="F7" s="6" t="s">
        <v>41</v>
      </c>
      <c r="G7" s="6" t="s">
        <v>24</v>
      </c>
      <c r="H7" s="6" t="s">
        <v>42</v>
      </c>
      <c r="I7" s="6" t="s">
        <v>19</v>
      </c>
      <c r="J7" s="6" t="s">
        <v>43</v>
      </c>
      <c r="K7" s="6" t="s">
        <v>33</v>
      </c>
      <c r="L7" s="6">
        <v>3</v>
      </c>
      <c r="M7" s="6">
        <v>3189.55</v>
      </c>
      <c r="N7" s="6">
        <v>10</v>
      </c>
      <c r="O7" s="6">
        <v>8611.7800000000007</v>
      </c>
      <c r="Q7" s="4" t="s">
        <v>1</v>
      </c>
      <c r="R7" s="4" t="s">
        <v>11</v>
      </c>
      <c r="Y7" s="4" t="s">
        <v>44</v>
      </c>
      <c r="Z7" s="4" t="s">
        <v>45</v>
      </c>
    </row>
    <row r="8" spans="1:29" x14ac:dyDescent="0.3">
      <c r="A8" s="1">
        <v>10007</v>
      </c>
      <c r="B8" s="2">
        <v>1700</v>
      </c>
      <c r="C8" s="3">
        <v>45050</v>
      </c>
      <c r="D8" s="3">
        <v>45054</v>
      </c>
      <c r="E8" s="2" t="s">
        <v>34</v>
      </c>
      <c r="F8" s="2" t="s">
        <v>41</v>
      </c>
      <c r="G8" s="2" t="s">
        <v>17</v>
      </c>
      <c r="H8" s="2" t="s">
        <v>46</v>
      </c>
      <c r="I8" s="2" t="s">
        <v>31</v>
      </c>
      <c r="J8" s="2" t="s">
        <v>32</v>
      </c>
      <c r="K8" s="2" t="s">
        <v>47</v>
      </c>
      <c r="L8" s="2">
        <v>5</v>
      </c>
      <c r="M8" s="2">
        <v>3030.42</v>
      </c>
      <c r="N8" s="2">
        <v>10</v>
      </c>
      <c r="O8" s="2">
        <v>13636.89</v>
      </c>
      <c r="Q8" s="8">
        <v>1106</v>
      </c>
      <c r="R8" s="8">
        <f>VLOOKUP(Q8, B1:L25, 11, 0)</f>
        <v>7</v>
      </c>
      <c r="Y8" s="8">
        <v>0</v>
      </c>
      <c r="Z8" s="8" t="s">
        <v>48</v>
      </c>
      <c r="AB8" s="4" t="s">
        <v>44</v>
      </c>
      <c r="AC8" s="4" t="s">
        <v>45</v>
      </c>
    </row>
    <row r="9" spans="1:29" x14ac:dyDescent="0.3">
      <c r="A9" s="5">
        <v>10008</v>
      </c>
      <c r="B9" s="6">
        <v>1020</v>
      </c>
      <c r="C9" s="7">
        <v>45040</v>
      </c>
      <c r="D9" s="7">
        <v>45041</v>
      </c>
      <c r="E9" s="6" t="s">
        <v>49</v>
      </c>
      <c r="F9" s="6" t="s">
        <v>16</v>
      </c>
      <c r="G9" s="6" t="s">
        <v>24</v>
      </c>
      <c r="H9" s="6" t="s">
        <v>18</v>
      </c>
      <c r="I9" s="6" t="s">
        <v>31</v>
      </c>
      <c r="J9" s="6" t="s">
        <v>32</v>
      </c>
      <c r="K9" s="6" t="s">
        <v>50</v>
      </c>
      <c r="L9" s="6">
        <v>4</v>
      </c>
      <c r="M9" s="6">
        <v>2310.83</v>
      </c>
      <c r="N9" s="6">
        <v>10</v>
      </c>
      <c r="O9" s="6">
        <v>8318.99</v>
      </c>
      <c r="Y9" s="8">
        <v>40</v>
      </c>
      <c r="Z9" s="8" t="s">
        <v>51</v>
      </c>
      <c r="AB9" s="8">
        <v>90</v>
      </c>
      <c r="AC9" s="8" t="str">
        <f>VLOOKUP(AB9,Y7:Z11,2,1)</f>
        <v>A</v>
      </c>
    </row>
    <row r="10" spans="1:29" x14ac:dyDescent="0.3">
      <c r="A10" s="1">
        <v>10009</v>
      </c>
      <c r="B10" s="2">
        <v>1614</v>
      </c>
      <c r="C10" s="3">
        <v>45204</v>
      </c>
      <c r="D10" s="3">
        <v>45213</v>
      </c>
      <c r="E10" s="2" t="s">
        <v>15</v>
      </c>
      <c r="F10" s="2" t="s">
        <v>29</v>
      </c>
      <c r="G10" s="2" t="s">
        <v>24</v>
      </c>
      <c r="H10" s="2" t="s">
        <v>25</v>
      </c>
      <c r="I10" s="2" t="s">
        <v>31</v>
      </c>
      <c r="J10" s="2" t="s">
        <v>52</v>
      </c>
      <c r="K10" s="2" t="s">
        <v>28</v>
      </c>
      <c r="L10" s="2">
        <v>5</v>
      </c>
      <c r="M10" s="2">
        <v>1098.04</v>
      </c>
      <c r="N10" s="2">
        <v>15</v>
      </c>
      <c r="O10" s="2">
        <v>4666.67</v>
      </c>
      <c r="Y10" s="8">
        <v>60</v>
      </c>
      <c r="Z10" s="8" t="s">
        <v>53</v>
      </c>
    </row>
    <row r="11" spans="1:29" x14ac:dyDescent="0.3">
      <c r="A11" s="5">
        <v>10010</v>
      </c>
      <c r="B11" s="6">
        <v>1121</v>
      </c>
      <c r="C11" s="7">
        <v>45139</v>
      </c>
      <c r="D11" s="7">
        <v>45147</v>
      </c>
      <c r="E11" s="6" t="s">
        <v>34</v>
      </c>
      <c r="F11" s="6" t="s">
        <v>38</v>
      </c>
      <c r="G11" s="6" t="s">
        <v>24</v>
      </c>
      <c r="H11" s="6" t="s">
        <v>35</v>
      </c>
      <c r="I11" s="6" t="s">
        <v>54</v>
      </c>
      <c r="J11" s="6" t="s">
        <v>55</v>
      </c>
      <c r="K11" s="6" t="s">
        <v>50</v>
      </c>
      <c r="L11" s="6">
        <v>5</v>
      </c>
      <c r="M11" s="6">
        <v>1780.66</v>
      </c>
      <c r="N11" s="6">
        <v>20</v>
      </c>
      <c r="O11" s="6">
        <v>7122.64</v>
      </c>
      <c r="Q11" s="13" t="s">
        <v>0</v>
      </c>
      <c r="R11" s="13" t="s">
        <v>4</v>
      </c>
      <c r="S11" s="13" t="s">
        <v>8</v>
      </c>
      <c r="T11" s="13" t="s">
        <v>11</v>
      </c>
      <c r="Y11" s="8">
        <v>80</v>
      </c>
      <c r="Z11" s="8" t="s">
        <v>56</v>
      </c>
    </row>
    <row r="12" spans="1:29" x14ac:dyDescent="0.3">
      <c r="A12" s="1">
        <v>10011</v>
      </c>
      <c r="B12" s="2">
        <v>1466</v>
      </c>
      <c r="C12" s="3">
        <v>45098</v>
      </c>
      <c r="D12" s="3">
        <v>45106</v>
      </c>
      <c r="E12" s="2" t="s">
        <v>34</v>
      </c>
      <c r="F12" s="2" t="s">
        <v>38</v>
      </c>
      <c r="G12" s="2" t="s">
        <v>17</v>
      </c>
      <c r="H12" s="2" t="s">
        <v>35</v>
      </c>
      <c r="I12" s="2" t="s">
        <v>54</v>
      </c>
      <c r="J12" s="2" t="s">
        <v>55</v>
      </c>
      <c r="K12" s="2" t="s">
        <v>33</v>
      </c>
      <c r="L12" s="2">
        <v>6</v>
      </c>
      <c r="M12" s="2">
        <v>3205.25</v>
      </c>
      <c r="N12" s="2">
        <v>0</v>
      </c>
      <c r="O12" s="2">
        <v>19231.5</v>
      </c>
      <c r="Q12" s="8">
        <v>10005</v>
      </c>
      <c r="R12" s="8" t="str" cm="1">
        <f t="array" ref="R12:T12">VLOOKUP(Q12, A1:O25, {5,9,12}, 0)</f>
        <v>Kolkata</v>
      </c>
      <c r="S12" s="8" t="str">
        <v>Fashion</v>
      </c>
      <c r="T12" s="8">
        <v>7</v>
      </c>
    </row>
    <row r="13" spans="1:29" x14ac:dyDescent="0.3">
      <c r="A13" s="5">
        <v>10012</v>
      </c>
      <c r="B13" s="6">
        <v>1214</v>
      </c>
      <c r="C13" s="7">
        <v>45214</v>
      </c>
      <c r="D13" s="7">
        <v>45220</v>
      </c>
      <c r="E13" s="6" t="s">
        <v>49</v>
      </c>
      <c r="F13" s="6" t="s">
        <v>23</v>
      </c>
      <c r="G13" s="6" t="s">
        <v>24</v>
      </c>
      <c r="H13" s="6" t="s">
        <v>46</v>
      </c>
      <c r="I13" s="6" t="s">
        <v>54</v>
      </c>
      <c r="J13" s="6" t="s">
        <v>57</v>
      </c>
      <c r="K13" s="6" t="s">
        <v>21</v>
      </c>
      <c r="L13" s="6">
        <v>6</v>
      </c>
      <c r="M13" s="6">
        <v>272.35000000000002</v>
      </c>
      <c r="N13" s="6">
        <v>5</v>
      </c>
      <c r="O13" s="6">
        <v>1552.39</v>
      </c>
    </row>
    <row r="14" spans="1:29" x14ac:dyDescent="0.3">
      <c r="A14" s="1">
        <v>10013</v>
      </c>
      <c r="B14" s="2">
        <v>1330</v>
      </c>
      <c r="C14" s="3">
        <v>45100</v>
      </c>
      <c r="D14" s="3">
        <v>45107</v>
      </c>
      <c r="E14" s="2" t="s">
        <v>16</v>
      </c>
      <c r="F14" s="2" t="s">
        <v>23</v>
      </c>
      <c r="G14" s="2" t="s">
        <v>17</v>
      </c>
      <c r="H14" s="2" t="s">
        <v>35</v>
      </c>
      <c r="I14" s="2" t="s">
        <v>19</v>
      </c>
      <c r="J14" s="2" t="s">
        <v>43</v>
      </c>
      <c r="K14" s="2" t="s">
        <v>21</v>
      </c>
      <c r="L14" s="2">
        <v>8</v>
      </c>
      <c r="M14" s="2">
        <v>3160.9</v>
      </c>
      <c r="N14" s="2">
        <v>0</v>
      </c>
      <c r="O14" s="2">
        <v>25287.200000000001</v>
      </c>
    </row>
    <row r="15" spans="1:29" x14ac:dyDescent="0.3">
      <c r="A15" s="5">
        <v>10014</v>
      </c>
      <c r="B15" s="6">
        <v>1458</v>
      </c>
      <c r="C15" s="7">
        <v>45039</v>
      </c>
      <c r="D15" s="7">
        <v>45045</v>
      </c>
      <c r="E15" s="6" t="s">
        <v>37</v>
      </c>
      <c r="F15" s="6" t="s">
        <v>38</v>
      </c>
      <c r="G15" s="6" t="s">
        <v>30</v>
      </c>
      <c r="H15" s="6" t="s">
        <v>35</v>
      </c>
      <c r="I15" s="6" t="s">
        <v>26</v>
      </c>
      <c r="J15" s="6" t="s">
        <v>36</v>
      </c>
      <c r="K15" s="6" t="s">
        <v>28</v>
      </c>
      <c r="L15" s="6">
        <v>8</v>
      </c>
      <c r="M15" s="6">
        <v>1074.27</v>
      </c>
      <c r="N15" s="6">
        <v>15</v>
      </c>
      <c r="O15" s="6">
        <v>7305.04</v>
      </c>
    </row>
    <row r="16" spans="1:29" x14ac:dyDescent="0.3">
      <c r="A16" s="1">
        <v>10015</v>
      </c>
      <c r="B16" s="2">
        <v>1087</v>
      </c>
      <c r="C16" s="3">
        <v>45048</v>
      </c>
      <c r="D16" s="3">
        <v>45057</v>
      </c>
      <c r="E16" s="2" t="s">
        <v>40</v>
      </c>
      <c r="F16" s="2" t="s">
        <v>23</v>
      </c>
      <c r="G16" s="2" t="s">
        <v>24</v>
      </c>
      <c r="H16" s="2" t="s">
        <v>18</v>
      </c>
      <c r="I16" s="2" t="s">
        <v>58</v>
      </c>
      <c r="J16" s="2" t="s">
        <v>59</v>
      </c>
      <c r="K16" s="2" t="s">
        <v>21</v>
      </c>
      <c r="L16" s="2">
        <v>9</v>
      </c>
      <c r="M16" s="2">
        <v>705.59</v>
      </c>
      <c r="N16" s="2">
        <v>10</v>
      </c>
      <c r="O16" s="2">
        <v>5715.28</v>
      </c>
      <c r="Q16" s="4" t="s">
        <v>0</v>
      </c>
      <c r="R16" s="4" t="s">
        <v>4</v>
      </c>
      <c r="T16" s="4" t="s">
        <v>1</v>
      </c>
      <c r="U16" s="4" t="s">
        <v>0</v>
      </c>
    </row>
    <row r="17" spans="1:21" x14ac:dyDescent="0.3">
      <c r="A17" s="5">
        <v>10016</v>
      </c>
      <c r="B17" s="6">
        <v>1372</v>
      </c>
      <c r="C17" s="7">
        <v>44958</v>
      </c>
      <c r="D17" s="7">
        <v>44961</v>
      </c>
      <c r="E17" s="6" t="s">
        <v>22</v>
      </c>
      <c r="F17" s="6" t="s">
        <v>29</v>
      </c>
      <c r="G17" s="6" t="s">
        <v>17</v>
      </c>
      <c r="H17" s="6" t="s">
        <v>42</v>
      </c>
      <c r="I17" s="6" t="s">
        <v>31</v>
      </c>
      <c r="J17" s="6" t="s">
        <v>39</v>
      </c>
      <c r="K17" s="6" t="s">
        <v>21</v>
      </c>
      <c r="L17" s="6">
        <v>8</v>
      </c>
      <c r="M17" s="6">
        <v>595.45000000000005</v>
      </c>
      <c r="N17" s="6">
        <v>5</v>
      </c>
      <c r="O17" s="6">
        <v>4525.42</v>
      </c>
      <c r="Q17" s="8">
        <v>10007</v>
      </c>
      <c r="R17" s="8" t="str">
        <f>VLOOKUP(Q17,$A$1:$O$25,5,0)</f>
        <v>Bengaluru</v>
      </c>
      <c r="T17" s="8">
        <v>1106</v>
      </c>
      <c r="U17" s="8">
        <f>VLOOKUP(T17, CHOOSE({1,2}, Table3[[#All],[Customer ID]], Table3[[#All],[Order ID]]), 2, 0)</f>
        <v>10005</v>
      </c>
    </row>
    <row r="18" spans="1:21" x14ac:dyDescent="0.3">
      <c r="A18" s="1">
        <v>10017</v>
      </c>
      <c r="B18" s="2">
        <v>1099</v>
      </c>
      <c r="C18" s="3">
        <v>45148</v>
      </c>
      <c r="D18" s="3">
        <v>45151</v>
      </c>
      <c r="E18" s="2" t="s">
        <v>16</v>
      </c>
      <c r="F18" s="2" t="s">
        <v>60</v>
      </c>
      <c r="G18" s="2" t="s">
        <v>17</v>
      </c>
      <c r="H18" s="2" t="s">
        <v>46</v>
      </c>
      <c r="I18" s="2" t="s">
        <v>31</v>
      </c>
      <c r="J18" s="2" t="s">
        <v>39</v>
      </c>
      <c r="K18" s="2" t="s">
        <v>28</v>
      </c>
      <c r="L18" s="2">
        <v>2</v>
      </c>
      <c r="M18" s="2">
        <v>254.91</v>
      </c>
      <c r="N18" s="2">
        <v>15</v>
      </c>
      <c r="O18" s="2">
        <v>433.35</v>
      </c>
      <c r="Q18" s="8">
        <v>10012</v>
      </c>
      <c r="R18" s="8" t="str">
        <f>VLOOKUP(Q18,A2:O26,5,0)</f>
        <v>Mumbai</v>
      </c>
    </row>
    <row r="19" spans="1:21" x14ac:dyDescent="0.3">
      <c r="A19" s="5">
        <v>10018</v>
      </c>
      <c r="B19" s="6">
        <v>1871</v>
      </c>
      <c r="C19" s="7">
        <v>45045</v>
      </c>
      <c r="D19" s="7">
        <v>45048</v>
      </c>
      <c r="E19" s="6" t="s">
        <v>15</v>
      </c>
      <c r="F19" s="6" t="s">
        <v>29</v>
      </c>
      <c r="G19" s="6" t="s">
        <v>24</v>
      </c>
      <c r="H19" s="6" t="s">
        <v>18</v>
      </c>
      <c r="I19" s="6" t="s">
        <v>19</v>
      </c>
      <c r="J19" s="6" t="s">
        <v>61</v>
      </c>
      <c r="K19" s="6" t="s">
        <v>28</v>
      </c>
      <c r="L19" s="6">
        <v>1</v>
      </c>
      <c r="M19" s="6">
        <v>2165.81</v>
      </c>
      <c r="N19" s="6">
        <v>15</v>
      </c>
      <c r="O19" s="6">
        <v>1840.94</v>
      </c>
      <c r="Q19" s="8">
        <v>10017</v>
      </c>
      <c r="R19" s="8" t="str">
        <f>VLOOKUP(Q19,A3:O27,5,0)</f>
        <v>Delhi</v>
      </c>
    </row>
    <row r="20" spans="1:21" x14ac:dyDescent="0.3">
      <c r="A20" s="1">
        <v>10019</v>
      </c>
      <c r="B20" s="2">
        <v>1663</v>
      </c>
      <c r="C20" s="3">
        <v>44965</v>
      </c>
      <c r="D20" s="3">
        <v>44968</v>
      </c>
      <c r="E20" s="2" t="s">
        <v>34</v>
      </c>
      <c r="F20" s="2" t="s">
        <v>38</v>
      </c>
      <c r="G20" s="2" t="s">
        <v>30</v>
      </c>
      <c r="H20" s="2" t="s">
        <v>42</v>
      </c>
      <c r="I20" s="2" t="s">
        <v>31</v>
      </c>
      <c r="J20" s="2" t="s">
        <v>39</v>
      </c>
      <c r="K20" s="2" t="s">
        <v>33</v>
      </c>
      <c r="L20" s="2">
        <v>2</v>
      </c>
      <c r="M20" s="2">
        <v>990.3</v>
      </c>
      <c r="N20" s="2">
        <v>15</v>
      </c>
      <c r="O20" s="2">
        <v>1683.51</v>
      </c>
      <c r="Q20" s="8">
        <v>10005</v>
      </c>
      <c r="R20" s="8" t="str">
        <f>VLOOKUP(Q20,A4:O28,5,0)</f>
        <v>Kolkata</v>
      </c>
    </row>
    <row r="21" spans="1:21" x14ac:dyDescent="0.3">
      <c r="A21" s="5">
        <v>10020</v>
      </c>
      <c r="B21" s="6">
        <v>1130</v>
      </c>
      <c r="C21" s="7">
        <v>45194</v>
      </c>
      <c r="D21" s="7">
        <v>45203</v>
      </c>
      <c r="E21" s="6" t="s">
        <v>49</v>
      </c>
      <c r="F21" s="6" t="s">
        <v>38</v>
      </c>
      <c r="G21" s="6" t="s">
        <v>17</v>
      </c>
      <c r="H21" s="6" t="s">
        <v>18</v>
      </c>
      <c r="I21" s="6" t="s">
        <v>54</v>
      </c>
      <c r="J21" s="6" t="s">
        <v>57</v>
      </c>
      <c r="K21" s="6" t="s">
        <v>21</v>
      </c>
      <c r="L21" s="6">
        <v>2</v>
      </c>
      <c r="M21" s="6">
        <v>3959.31</v>
      </c>
      <c r="N21" s="6">
        <v>5</v>
      </c>
      <c r="O21" s="6">
        <v>7522.69</v>
      </c>
    </row>
    <row r="22" spans="1:21" x14ac:dyDescent="0.3">
      <c r="A22" s="1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29</v>
      </c>
      <c r="G22" s="2" t="s">
        <v>24</v>
      </c>
      <c r="H22" s="2" t="s">
        <v>18</v>
      </c>
      <c r="I22" s="2" t="s">
        <v>58</v>
      </c>
      <c r="J22" s="2" t="s">
        <v>62</v>
      </c>
      <c r="K22" s="2" t="s">
        <v>21</v>
      </c>
      <c r="L22" s="2">
        <v>3</v>
      </c>
      <c r="M22" s="2">
        <v>2361.58</v>
      </c>
      <c r="N22" s="2">
        <v>5</v>
      </c>
      <c r="O22" s="2">
        <v>6730.5</v>
      </c>
      <c r="Q22" s="4" t="s">
        <v>0</v>
      </c>
      <c r="R22" s="4" t="s">
        <v>14</v>
      </c>
    </row>
    <row r="23" spans="1:21" x14ac:dyDescent="0.3">
      <c r="A23" s="5">
        <v>10022</v>
      </c>
      <c r="B23" s="6">
        <v>1308</v>
      </c>
      <c r="C23" s="7">
        <v>44944</v>
      </c>
      <c r="D23" s="7">
        <v>44951</v>
      </c>
      <c r="E23" s="6" t="s">
        <v>37</v>
      </c>
      <c r="F23" s="6" t="s">
        <v>23</v>
      </c>
      <c r="G23" s="6" t="s">
        <v>30</v>
      </c>
      <c r="H23" s="6" t="s">
        <v>35</v>
      </c>
      <c r="I23" s="6" t="s">
        <v>63</v>
      </c>
      <c r="J23" s="6" t="s">
        <v>64</v>
      </c>
      <c r="K23" s="6" t="s">
        <v>33</v>
      </c>
      <c r="L23" s="6">
        <v>7</v>
      </c>
      <c r="M23" s="6">
        <v>680.86</v>
      </c>
      <c r="N23" s="6">
        <v>20</v>
      </c>
      <c r="O23" s="6">
        <v>3812.82</v>
      </c>
      <c r="Q23" s="8">
        <v>10026</v>
      </c>
      <c r="R23" s="8">
        <f>IFERROR(VLOOKUP(Q23,Table3[#All], 15,0), "Not Found!!!")</f>
        <v>3798.68</v>
      </c>
    </row>
    <row r="24" spans="1:21" x14ac:dyDescent="0.3">
      <c r="A24" s="1">
        <v>10023</v>
      </c>
      <c r="B24" s="2">
        <v>1769</v>
      </c>
      <c r="C24" s="3">
        <v>45075</v>
      </c>
      <c r="D24" s="3">
        <v>45084</v>
      </c>
      <c r="E24" s="2" t="s">
        <v>16</v>
      </c>
      <c r="F24" s="2" t="s">
        <v>23</v>
      </c>
      <c r="G24" s="2" t="s">
        <v>17</v>
      </c>
      <c r="H24" s="2" t="s">
        <v>42</v>
      </c>
      <c r="I24" s="2" t="s">
        <v>31</v>
      </c>
      <c r="J24" s="2" t="s">
        <v>32</v>
      </c>
      <c r="K24" s="2" t="s">
        <v>47</v>
      </c>
      <c r="L24" s="2">
        <v>2</v>
      </c>
      <c r="M24" s="2">
        <v>2801.74</v>
      </c>
      <c r="N24" s="2">
        <v>20</v>
      </c>
      <c r="O24" s="2">
        <v>4482.78</v>
      </c>
    </row>
    <row r="25" spans="1:21" x14ac:dyDescent="0.3">
      <c r="A25" s="5">
        <v>10024</v>
      </c>
      <c r="B25" s="6">
        <v>1343</v>
      </c>
      <c r="C25" s="7">
        <v>45075</v>
      </c>
      <c r="D25" s="7">
        <v>45082</v>
      </c>
      <c r="E25" s="6" t="s">
        <v>22</v>
      </c>
      <c r="F25" s="6" t="s">
        <v>41</v>
      </c>
      <c r="G25" s="6" t="s">
        <v>17</v>
      </c>
      <c r="H25" s="6" t="s">
        <v>46</v>
      </c>
      <c r="I25" s="6" t="s">
        <v>54</v>
      </c>
      <c r="J25" s="6" t="s">
        <v>57</v>
      </c>
      <c r="K25" s="6" t="s">
        <v>47</v>
      </c>
      <c r="L25" s="6">
        <v>1</v>
      </c>
      <c r="M25" s="6">
        <v>3606.31</v>
      </c>
      <c r="N25" s="6">
        <v>0</v>
      </c>
      <c r="O25" s="6">
        <v>3606.31</v>
      </c>
    </row>
    <row r="26" spans="1:21" x14ac:dyDescent="0.3">
      <c r="A26" s="1">
        <v>10025</v>
      </c>
      <c r="B26" s="2">
        <v>1491</v>
      </c>
      <c r="C26" s="3">
        <v>45052</v>
      </c>
      <c r="D26" s="3">
        <v>45061</v>
      </c>
      <c r="E26" s="2" t="s">
        <v>65</v>
      </c>
      <c r="F26" s="2" t="s">
        <v>29</v>
      </c>
      <c r="G26" s="2" t="s">
        <v>30</v>
      </c>
      <c r="H26" s="2" t="s">
        <v>25</v>
      </c>
      <c r="I26" s="2" t="s">
        <v>19</v>
      </c>
      <c r="J26" s="2" t="s">
        <v>66</v>
      </c>
      <c r="K26" s="2" t="s">
        <v>47</v>
      </c>
      <c r="L26" s="2">
        <v>6</v>
      </c>
      <c r="M26" s="2">
        <v>3018.94</v>
      </c>
      <c r="N26" s="2">
        <v>5</v>
      </c>
      <c r="O26" s="2">
        <v>17207.96</v>
      </c>
    </row>
    <row r="27" spans="1:21" x14ac:dyDescent="0.3">
      <c r="A27" s="1">
        <v>10026</v>
      </c>
      <c r="B27" s="9">
        <v>1413</v>
      </c>
      <c r="C27" s="10">
        <v>45228</v>
      </c>
      <c r="D27" s="10">
        <v>45231</v>
      </c>
      <c r="E27" s="9" t="s">
        <v>34</v>
      </c>
      <c r="F27" s="9" t="s">
        <v>16</v>
      </c>
      <c r="G27" s="9" t="s">
        <v>30</v>
      </c>
      <c r="H27" s="9" t="s">
        <v>42</v>
      </c>
      <c r="I27" s="9" t="s">
        <v>58</v>
      </c>
      <c r="J27" s="9" t="s">
        <v>67</v>
      </c>
      <c r="K27" s="9" t="s">
        <v>33</v>
      </c>
      <c r="L27" s="9">
        <v>9</v>
      </c>
      <c r="M27" s="9">
        <v>444.29</v>
      </c>
      <c r="N27" s="9">
        <v>5</v>
      </c>
      <c r="O27" s="9">
        <v>3798.68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2026-10-19T18:23:44Z</dcterms:created>
  <dcterms:modified xsi:type="dcterms:W3CDTF">2026-10-19T18:25:45Z</dcterms:modified>
</cp:coreProperties>
</file>