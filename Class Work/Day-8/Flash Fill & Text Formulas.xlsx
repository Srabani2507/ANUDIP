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Class Work\Day-8\"/>
    </mc:Choice>
  </mc:AlternateContent>
  <xr:revisionPtr revIDLastSave="0" documentId="8_{C62697C4-11B8-437B-A3C6-43F8F7DDBFB0}" xr6:coauthVersionLast="47" xr6:coauthVersionMax="47" xr10:uidLastSave="{00000000-0000-0000-0000-000000000000}"/>
  <bookViews>
    <workbookView xWindow="-108" yWindow="-108" windowWidth="23256" windowHeight="12456" xr2:uid="{1896B0C0-9394-4F5A-B199-473B4A7C2314}"/>
  </bookViews>
  <sheets>
    <sheet name="FlashFill &amp; Text Fo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6" i="1" l="1"/>
  <c r="AB26" i="1"/>
  <c r="AA26" i="1"/>
  <c r="Z26" i="1"/>
  <c r="X26" i="1"/>
  <c r="Y26" i="1" s="1"/>
  <c r="W26" i="1"/>
  <c r="V26" i="1"/>
  <c r="U26" i="1"/>
  <c r="T26" i="1"/>
  <c r="S26" i="1"/>
  <c r="R26" i="1"/>
  <c r="Q26" i="1"/>
  <c r="AC25" i="1"/>
  <c r="AB25" i="1"/>
  <c r="AA25" i="1"/>
  <c r="Z25" i="1"/>
  <c r="X25" i="1"/>
  <c r="Y25" i="1" s="1"/>
  <c r="W25" i="1"/>
  <c r="V25" i="1"/>
  <c r="U25" i="1"/>
  <c r="T25" i="1"/>
  <c r="S25" i="1"/>
  <c r="R25" i="1"/>
  <c r="Q25" i="1"/>
  <c r="AC24" i="1"/>
  <c r="AB24" i="1"/>
  <c r="AA24" i="1"/>
  <c r="Z24" i="1"/>
  <c r="X24" i="1"/>
  <c r="Y24" i="1" s="1"/>
  <c r="W24" i="1"/>
  <c r="V24" i="1"/>
  <c r="U24" i="1"/>
  <c r="T24" i="1"/>
  <c r="S24" i="1"/>
  <c r="R24" i="1"/>
  <c r="Q24" i="1"/>
  <c r="AC23" i="1"/>
  <c r="AB23" i="1"/>
  <c r="AA23" i="1"/>
  <c r="Z23" i="1"/>
  <c r="X23" i="1"/>
  <c r="Y23" i="1" s="1"/>
  <c r="W23" i="1"/>
  <c r="V23" i="1"/>
  <c r="U23" i="1"/>
  <c r="T23" i="1"/>
  <c r="S23" i="1"/>
  <c r="R23" i="1"/>
  <c r="Q23" i="1"/>
  <c r="AC22" i="1"/>
  <c r="AB22" i="1"/>
  <c r="AA22" i="1"/>
  <c r="Z22" i="1"/>
  <c r="X22" i="1"/>
  <c r="Y22" i="1" s="1"/>
  <c r="W22" i="1"/>
  <c r="V22" i="1"/>
  <c r="U22" i="1"/>
  <c r="T22" i="1"/>
  <c r="S22" i="1"/>
  <c r="R22" i="1"/>
  <c r="Q22" i="1"/>
  <c r="AC21" i="1"/>
  <c r="AB21" i="1"/>
  <c r="AA21" i="1"/>
  <c r="Z21" i="1"/>
  <c r="X21" i="1"/>
  <c r="Y21" i="1" s="1"/>
  <c r="W21" i="1"/>
  <c r="V21" i="1"/>
  <c r="U21" i="1"/>
  <c r="T21" i="1"/>
  <c r="S21" i="1"/>
  <c r="R21" i="1"/>
  <c r="Q21" i="1"/>
  <c r="AC20" i="1"/>
  <c r="AB20" i="1"/>
  <c r="AA20" i="1"/>
  <c r="Z20" i="1"/>
  <c r="X20" i="1"/>
  <c r="Y20" i="1" s="1"/>
  <c r="W20" i="1"/>
  <c r="V20" i="1"/>
  <c r="U20" i="1"/>
  <c r="T20" i="1"/>
  <c r="S20" i="1"/>
  <c r="R20" i="1"/>
  <c r="Q20" i="1"/>
  <c r="AC19" i="1"/>
  <c r="AB19" i="1"/>
  <c r="AA19" i="1"/>
  <c r="Z19" i="1"/>
  <c r="X19" i="1"/>
  <c r="Y19" i="1" s="1"/>
  <c r="W19" i="1"/>
  <c r="V19" i="1"/>
  <c r="U19" i="1"/>
  <c r="T19" i="1"/>
  <c r="S19" i="1"/>
  <c r="R19" i="1"/>
  <c r="Q19" i="1"/>
  <c r="AC18" i="1"/>
  <c r="AB18" i="1"/>
  <c r="AA18" i="1"/>
  <c r="Z18" i="1"/>
  <c r="X18" i="1"/>
  <c r="Y18" i="1" s="1"/>
  <c r="W18" i="1"/>
  <c r="V18" i="1"/>
  <c r="U18" i="1"/>
  <c r="T18" i="1"/>
  <c r="S18" i="1"/>
  <c r="R18" i="1"/>
  <c r="Q18" i="1"/>
  <c r="AC17" i="1"/>
  <c r="AB17" i="1"/>
  <c r="AA17" i="1"/>
  <c r="Z17" i="1"/>
  <c r="X17" i="1"/>
  <c r="Y17" i="1" s="1"/>
  <c r="W17" i="1"/>
  <c r="V17" i="1"/>
  <c r="U17" i="1"/>
  <c r="T17" i="1"/>
  <c r="S17" i="1"/>
  <c r="R17" i="1"/>
  <c r="Q17" i="1"/>
  <c r="AC16" i="1"/>
  <c r="AB16" i="1"/>
  <c r="AA16" i="1"/>
  <c r="Z16" i="1"/>
  <c r="X16" i="1"/>
  <c r="Y16" i="1" s="1"/>
  <c r="W16" i="1"/>
  <c r="V16" i="1"/>
  <c r="U16" i="1"/>
  <c r="T16" i="1"/>
  <c r="S16" i="1"/>
  <c r="R16" i="1"/>
  <c r="Q16" i="1"/>
  <c r="AC15" i="1"/>
  <c r="AB15" i="1"/>
  <c r="AA15" i="1"/>
  <c r="Z15" i="1"/>
  <c r="X15" i="1"/>
  <c r="Y15" i="1" s="1"/>
  <c r="W15" i="1"/>
  <c r="V15" i="1"/>
  <c r="U15" i="1"/>
  <c r="T15" i="1"/>
  <c r="S15" i="1"/>
  <c r="R15" i="1"/>
  <c r="Q15" i="1"/>
  <c r="AC14" i="1"/>
  <c r="AB14" i="1"/>
  <c r="AA14" i="1"/>
  <c r="Z14" i="1"/>
  <c r="X14" i="1"/>
  <c r="Y14" i="1" s="1"/>
  <c r="W14" i="1"/>
  <c r="V14" i="1"/>
  <c r="U14" i="1"/>
  <c r="T14" i="1"/>
  <c r="S14" i="1"/>
  <c r="R14" i="1"/>
  <c r="Q14" i="1"/>
  <c r="AC13" i="1"/>
  <c r="AB13" i="1"/>
  <c r="AA13" i="1"/>
  <c r="Z13" i="1"/>
  <c r="X13" i="1"/>
  <c r="Y13" i="1" s="1"/>
  <c r="W13" i="1"/>
  <c r="V13" i="1"/>
  <c r="U13" i="1"/>
  <c r="T13" i="1"/>
  <c r="S13" i="1"/>
  <c r="R13" i="1"/>
  <c r="Q13" i="1"/>
  <c r="AC12" i="1"/>
  <c r="AB12" i="1"/>
  <c r="AA12" i="1"/>
  <c r="Z12" i="1"/>
  <c r="X12" i="1"/>
  <c r="Y12" i="1" s="1"/>
  <c r="W12" i="1"/>
  <c r="V12" i="1"/>
  <c r="U12" i="1"/>
  <c r="T12" i="1"/>
  <c r="S12" i="1"/>
  <c r="R12" i="1"/>
  <c r="Q12" i="1"/>
  <c r="AC11" i="1"/>
  <c r="AB11" i="1"/>
  <c r="AA11" i="1"/>
  <c r="Z11" i="1"/>
  <c r="X11" i="1"/>
  <c r="Y11" i="1" s="1"/>
  <c r="W11" i="1"/>
  <c r="V11" i="1"/>
  <c r="U11" i="1"/>
  <c r="T11" i="1"/>
  <c r="S11" i="1"/>
  <c r="R11" i="1"/>
  <c r="Q11" i="1"/>
  <c r="AC10" i="1"/>
  <c r="AB10" i="1"/>
  <c r="AA10" i="1"/>
  <c r="Z10" i="1"/>
  <c r="X10" i="1"/>
  <c r="Y10" i="1" s="1"/>
  <c r="W10" i="1"/>
  <c r="V10" i="1"/>
  <c r="U10" i="1"/>
  <c r="T10" i="1"/>
  <c r="S10" i="1"/>
  <c r="R10" i="1"/>
  <c r="Q10" i="1"/>
  <c r="AC9" i="1"/>
  <c r="AB9" i="1"/>
  <c r="AA9" i="1"/>
  <c r="Z9" i="1"/>
  <c r="X9" i="1"/>
  <c r="Y9" i="1" s="1"/>
  <c r="W9" i="1"/>
  <c r="V9" i="1"/>
  <c r="U9" i="1"/>
  <c r="T9" i="1"/>
  <c r="S9" i="1"/>
  <c r="R9" i="1"/>
  <c r="Q9" i="1"/>
  <c r="AC8" i="1"/>
  <c r="AB8" i="1"/>
  <c r="AA8" i="1"/>
  <c r="Z8" i="1"/>
  <c r="X8" i="1"/>
  <c r="Y8" i="1" s="1"/>
  <c r="W8" i="1"/>
  <c r="V8" i="1"/>
  <c r="U8" i="1"/>
  <c r="T8" i="1"/>
  <c r="S8" i="1"/>
  <c r="R8" i="1"/>
  <c r="Q8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AC6" i="1"/>
  <c r="AB6" i="1"/>
  <c r="AA6" i="1"/>
  <c r="Z6" i="1"/>
  <c r="X6" i="1"/>
  <c r="Y6" i="1" s="1"/>
  <c r="W6" i="1"/>
  <c r="V6" i="1"/>
  <c r="U6" i="1"/>
  <c r="T6" i="1"/>
  <c r="S6" i="1"/>
  <c r="R6" i="1"/>
  <c r="Q6" i="1"/>
  <c r="AC5" i="1"/>
  <c r="AB5" i="1"/>
  <c r="AA5" i="1"/>
  <c r="Z5" i="1"/>
  <c r="X5" i="1"/>
  <c r="Y5" i="1" s="1"/>
  <c r="W5" i="1"/>
  <c r="V5" i="1"/>
  <c r="U5" i="1"/>
  <c r="T5" i="1"/>
  <c r="S5" i="1"/>
  <c r="R5" i="1"/>
  <c r="Q5" i="1"/>
  <c r="AC4" i="1"/>
  <c r="AB4" i="1"/>
  <c r="AA4" i="1"/>
  <c r="Z4" i="1"/>
  <c r="X4" i="1"/>
  <c r="Y4" i="1" s="1"/>
  <c r="W4" i="1"/>
  <c r="V4" i="1"/>
  <c r="U4" i="1"/>
  <c r="T4" i="1"/>
  <c r="S4" i="1"/>
  <c r="R4" i="1"/>
  <c r="Q4" i="1"/>
  <c r="AC3" i="1"/>
  <c r="AB3" i="1"/>
  <c r="AA3" i="1"/>
  <c r="Z3" i="1"/>
  <c r="X3" i="1"/>
  <c r="Y3" i="1" s="1"/>
  <c r="W3" i="1"/>
  <c r="V3" i="1"/>
  <c r="U3" i="1"/>
  <c r="T3" i="1"/>
  <c r="S3" i="1"/>
  <c r="R3" i="1"/>
  <c r="Q3" i="1"/>
  <c r="AC2" i="1"/>
  <c r="AB2" i="1"/>
  <c r="AA2" i="1"/>
  <c r="Z2" i="1"/>
  <c r="X2" i="1"/>
  <c r="Y2" i="1" s="1"/>
  <c r="W2" i="1"/>
  <c r="V2" i="1"/>
  <c r="U2" i="1"/>
  <c r="T2" i="1"/>
  <c r="S2" i="1"/>
  <c r="R2" i="1"/>
  <c r="Q2" i="1"/>
  <c r="AF2" i="1" l="1"/>
  <c r="AE2" i="1"/>
  <c r="AD2" i="1"/>
</calcChain>
</file>

<file path=xl/sharedStrings.xml><?xml version="1.0" encoding="utf-8"?>
<sst xmlns="http://schemas.openxmlformats.org/spreadsheetml/2006/main" count="235" uniqueCount="85">
  <si>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</si>
  <si>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</si>
  <si>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</si>
  <si>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</si>
  <si>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</si>
  <si>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</si>
  <si>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</si>
  <si>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</si>
  <si>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</si>
  <si>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</si>
  <si>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</si>
  <si>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</si>
  <si>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</si>
  <si>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</si>
  <si>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</si>
  <si>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Flash Fill</t>
  </si>
  <si>
    <t>Left</t>
  </si>
  <si>
    <t>Right</t>
  </si>
  <si>
    <t>Middle</t>
  </si>
  <si>
    <t>LENGTH</t>
  </si>
  <si>
    <t>TRIM</t>
  </si>
  <si>
    <t>Upper</t>
  </si>
  <si>
    <t>Lower</t>
  </si>
  <si>
    <t>Proper</t>
  </si>
  <si>
    <t>Concate1</t>
  </si>
  <si>
    <t>Concate2</t>
  </si>
  <si>
    <t>Concatenate</t>
  </si>
  <si>
    <t>TextJoin</t>
  </si>
  <si>
    <t>Find</t>
  </si>
  <si>
    <t>Search</t>
  </si>
  <si>
    <t>Replace</t>
  </si>
  <si>
    <t>Textbefore</t>
  </si>
  <si>
    <t>TextAfter</t>
  </si>
  <si>
    <t>TextSplit</t>
  </si>
  <si>
    <t>Chennai</t>
  </si>
  <si>
    <t>Delhi</t>
  </si>
  <si>
    <t>Mobile App</t>
  </si>
  <si>
    <t>Credit Card</t>
  </si>
  <si>
    <t>Home &amp; Kitchen</t>
  </si>
  <si>
    <t>Mixer   Grinder</t>
  </si>
  <si>
    <t>BrandA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</si>
  <si>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</si>
  <si>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</si>
  <si>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</si>
  <si>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</si>
  <si>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</si>
  <si>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</si>
  <si>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</si>
  <si>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</si>
  <si>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BRANDD</t>
  </si>
  <si>
    <t>West Bengal</t>
  </si>
  <si>
    <t>Marketplace</t>
  </si>
  <si>
    <t>Fashion</t>
  </si>
  <si>
    <t>Sneakers</t>
  </si>
  <si>
    <t>BrandE</t>
  </si>
  <si>
    <t>BRANDE</t>
  </si>
  <si>
    <t>Bengaluru</t>
  </si>
  <si>
    <t>Cash on Delivery</t>
  </si>
  <si>
    <t xml:space="preserve">Yoga    Mat  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</si>
  <si>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</si>
  <si>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</si>
  <si>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</si>
  <si>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</si>
  <si>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</si>
  <si>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</si>
  <si>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</si>
  <si>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</si>
  <si>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</si>
  <si>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BRANDC</t>
  </si>
  <si>
    <t>Mumbai</t>
  </si>
  <si>
    <t>BrandB</t>
  </si>
  <si>
    <t>BRANDB</t>
  </si>
  <si>
    <t>T-Shirt</t>
  </si>
  <si>
    <t>Electronics</t>
  </si>
  <si>
    <t>Headphones</t>
  </si>
  <si>
    <t>Smartwatch</t>
  </si>
  <si>
    <t>Yoga Mat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</si>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</sst>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CC60-63C6-4512-80EE-DC2F3FE459DF}">
  <dimension ref="A1:AI26"/>
  <sheetViews>
    <sheetView tabSelected="1" workbookViewId="0">
      <selection activeCell="N5" sqref="N5"/>
    </sheetView>
  </sheetViews>
  <sheetFormatPr defaultRowHeight="14.4" x14ac:dyDescent="0.3"/>
  <cols>
    <col min="1" max="1" width="7.88671875" bestFit="1" customWidth="1"/>
    <col min="2" max="2" width="11.21875" bestFit="1" customWidth="1"/>
    <col min="3" max="4" width="10.33203125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8.44140625" bestFit="1" customWidth="1"/>
    <col min="17" max="17" width="5.109375" bestFit="1" customWidth="1"/>
    <col min="18" max="18" width="4.109375" bestFit="1" customWidth="1"/>
    <col min="19" max="19" width="5.21875" bestFit="1" customWidth="1"/>
    <col min="20" max="20" width="6.77734375" bestFit="1" customWidth="1"/>
    <col min="21" max="21" width="7.77734375" bestFit="1" customWidth="1"/>
    <col min="22" max="22" width="11.77734375" bestFit="1" customWidth="1"/>
    <col min="23" max="23" width="12.88671875" bestFit="1" customWidth="1"/>
    <col min="24" max="24" width="11.109375" bestFit="1" customWidth="1"/>
    <col min="25" max="25" width="11" bestFit="1" customWidth="1"/>
    <col min="26" max="26" width="26" bestFit="1" customWidth="1"/>
    <col min="27" max="27" width="28" bestFit="1" customWidth="1"/>
    <col min="28" max="28" width="24.77734375" bestFit="1" customWidth="1"/>
    <col min="29" max="29" width="26" bestFit="1" customWidth="1"/>
    <col min="30" max="30" width="4.6640625" bestFit="1" customWidth="1"/>
    <col min="31" max="31" width="6.77734375" bestFit="1" customWidth="1"/>
    <col min="32" max="32" width="8.44140625" bestFit="1" customWidth="1"/>
    <col min="33" max="33" width="9.77734375" bestFit="1" customWidth="1"/>
    <col min="34" max="35" width="8.441406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3" t="s">
        <v>32</v>
      </c>
      <c r="AI1" s="1" t="s">
        <v>33</v>
      </c>
    </row>
    <row r="2" spans="1:35" x14ac:dyDescent="0.3">
      <c r="A2" s="4">
        <v>10001</v>
      </c>
      <c r="B2" s="4">
        <v>1102</v>
      </c>
      <c r="C2" s="5">
        <v>45197</v>
      </c>
      <c r="D2" s="5">
        <v>45203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>
        <v>7</v>
      </c>
      <c r="M2" s="4">
        <v>2843.87</v>
      </c>
      <c r="N2" s="4">
        <v>0</v>
      </c>
      <c r="O2" s="4">
        <v>19907.09</v>
      </c>
      <c r="P2" s="4" t="s">
        <v>41</v>
      </c>
      <c r="Q2" s="4" t="str">
        <f>LEFT(H2,4)</f>
        <v>Cred</v>
      </c>
      <c r="R2" s="4" t="str">
        <f>LEFT(H2,2)</f>
        <v>Cr</v>
      </c>
      <c r="S2" s="4" t="str">
        <f>RIGHT(G2,3)</f>
        <v>App</v>
      </c>
      <c r="T2" s="4" t="str">
        <f>MID(J2,3,5)</f>
        <v xml:space="preserve">xer  </v>
      </c>
      <c r="U2" s="4">
        <f>LEN(F2)</f>
        <v>5</v>
      </c>
      <c r="V2" s="4" t="str">
        <f>TRIM(J2)</f>
        <v>Mixer Grinder</v>
      </c>
      <c r="W2" s="4" t="str">
        <f>UPPER(G2)</f>
        <v>MOBILE APP</v>
      </c>
      <c r="X2" s="4" t="str">
        <f>LOWER(G2)</f>
        <v>mobile app</v>
      </c>
      <c r="Y2" s="4" t="str">
        <f>PROPER(X2)</f>
        <v>Mobile App</v>
      </c>
      <c r="Z2" s="4" t="str">
        <f>_xlfn.CONCAT(I2, " ",J2)</f>
        <v>Home &amp; Kitchen Mixer   Grinder</v>
      </c>
      <c r="AA2" s="4" t="str">
        <f>_xlfn.CONCAT(E2:G2)</f>
        <v>ChennaiDelhiMobile App</v>
      </c>
      <c r="AB2" s="4" t="str">
        <f>CONCATENATE(G2, " ", H2)</f>
        <v>Mobile App Credit Card</v>
      </c>
      <c r="AC2" s="4" t="str">
        <f>_xlfn.TEXTJOIN(" ", TRUE, I2,J2)</f>
        <v>Home &amp; Kitchen Mixer   Grinder</v>
      </c>
      <c r="AD2" s="4">
        <f>FIND("b",Y2)</f>
        <v>3</v>
      </c>
      <c r="AE2" s="4">
        <f>SEARCH("m",Y2)</f>
        <v>1</v>
      </c>
      <c r="AF2" s="4" t="str">
        <f>REPLACE(Y2,1,2,"R")</f>
        <v>Rbile App</v>
      </c>
      <c r="AG2" s="4"/>
      <c r="AH2" s="6"/>
      <c r="AI2" s="4"/>
    </row>
    <row r="3" spans="1:35" x14ac:dyDescent="0.3">
      <c r="A3" s="4">
        <v>10002</v>
      </c>
      <c r="B3" s="4">
        <v>1435</v>
      </c>
      <c r="C3" s="5">
        <v>45199</v>
      </c>
      <c r="D3" s="5">
        <v>45203</v>
      </c>
      <c r="E3" s="4" t="s">
        <v>42</v>
      </c>
      <c r="F3" s="4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4" t="s">
        <v>48</v>
      </c>
      <c r="L3" s="4">
        <v>9</v>
      </c>
      <c r="M3" s="4">
        <v>2525.23</v>
      </c>
      <c r="N3" s="4">
        <v>5</v>
      </c>
      <c r="O3" s="4">
        <v>21590.720000000001</v>
      </c>
      <c r="P3" s="4" t="s">
        <v>49</v>
      </c>
      <c r="Q3" s="4" t="str">
        <f t="shared" ref="Q3:Q26" si="0">LEFT(H3,4)</f>
        <v>Debi</v>
      </c>
      <c r="R3" s="4" t="str">
        <f t="shared" ref="R3:R26" si="1">LEFT(H3,2)</f>
        <v>De</v>
      </c>
      <c r="S3" s="4" t="str">
        <f t="shared" ref="S3:S26" si="2">RIGHT(G3,3)</f>
        <v>ite</v>
      </c>
      <c r="T3" s="4" t="str">
        <f t="shared" ref="T3:T26" si="3">MID(J3,3,5)</f>
        <v>otbal</v>
      </c>
      <c r="U3" s="4">
        <f t="shared" ref="U3:U26" si="4">LEN(F3)</f>
        <v>10</v>
      </c>
      <c r="V3" s="4" t="str">
        <f t="shared" ref="V3:V26" si="5">TRIM(J3)</f>
        <v>Football</v>
      </c>
      <c r="W3" s="4" t="str">
        <f t="shared" ref="W3:W26" si="6">UPPER(G3)</f>
        <v>WEBSITE</v>
      </c>
      <c r="X3" s="4" t="str">
        <f t="shared" ref="X3:X26" si="7">LOWER(G3)</f>
        <v>website</v>
      </c>
      <c r="Y3" s="4" t="str">
        <f t="shared" ref="Y3:Y26" si="8">PROPER(X3)</f>
        <v>Website</v>
      </c>
      <c r="Z3" s="4" t="str">
        <f t="shared" ref="Z3:Z26" si="9">_xlfn.CONCAT(I3, " ",J3)</f>
        <v>Sports Football</v>
      </c>
      <c r="AA3" s="4" t="str">
        <f t="shared" ref="AA3:AA26" si="10">_xlfn.CONCAT(E3:G3)</f>
        <v>PuneTamil NaduWebsite</v>
      </c>
      <c r="AB3" s="4" t="str">
        <f t="shared" ref="AB3:AB26" si="11">CONCATENATE(G3, " ", H3)</f>
        <v>Website Debit Card</v>
      </c>
      <c r="AC3" s="4" t="str">
        <f t="shared" ref="AC3:AC26" si="12">_xlfn.TEXTJOIN(" ", TRUE, I3,J3)</f>
        <v>Sports Football</v>
      </c>
      <c r="AD3" s="4"/>
      <c r="AE3" s="4"/>
      <c r="AF3" s="4"/>
      <c r="AG3" s="4"/>
      <c r="AH3" s="6"/>
      <c r="AI3" s="4"/>
    </row>
    <row r="4" spans="1:35" x14ac:dyDescent="0.3">
      <c r="A4" s="4">
        <v>10003</v>
      </c>
      <c r="B4" s="4">
        <v>1860</v>
      </c>
      <c r="C4" s="5">
        <v>45109</v>
      </c>
      <c r="D4" s="5">
        <v>45114</v>
      </c>
      <c r="E4" s="4" t="s">
        <v>34</v>
      </c>
      <c r="F4" s="4" t="s">
        <v>50</v>
      </c>
      <c r="G4" s="4" t="s">
        <v>51</v>
      </c>
      <c r="H4" s="4" t="s">
        <v>45</v>
      </c>
      <c r="I4" s="4" t="s">
        <v>52</v>
      </c>
      <c r="J4" s="4" t="s">
        <v>53</v>
      </c>
      <c r="K4" s="4" t="s">
        <v>54</v>
      </c>
      <c r="L4" s="4">
        <v>6</v>
      </c>
      <c r="M4" s="4">
        <v>3474.34</v>
      </c>
      <c r="N4" s="4">
        <v>15</v>
      </c>
      <c r="O4" s="4">
        <v>17719.13</v>
      </c>
      <c r="P4" s="4" t="s">
        <v>55</v>
      </c>
      <c r="Q4" s="4" t="str">
        <f t="shared" si="0"/>
        <v>Debi</v>
      </c>
      <c r="R4" s="4" t="str">
        <f t="shared" si="1"/>
        <v>De</v>
      </c>
      <c r="S4" s="4" t="str">
        <f t="shared" si="2"/>
        <v>ace</v>
      </c>
      <c r="T4" s="4" t="str">
        <f t="shared" si="3"/>
        <v>eaker</v>
      </c>
      <c r="U4" s="4">
        <f t="shared" si="4"/>
        <v>11</v>
      </c>
      <c r="V4" s="4" t="str">
        <f t="shared" si="5"/>
        <v>Sneakers</v>
      </c>
      <c r="W4" s="4" t="str">
        <f t="shared" si="6"/>
        <v>MARKETPLACE</v>
      </c>
      <c r="X4" s="4" t="str">
        <f t="shared" si="7"/>
        <v>marketplace</v>
      </c>
      <c r="Y4" s="4" t="str">
        <f t="shared" si="8"/>
        <v>Marketplace</v>
      </c>
      <c r="Z4" s="4" t="str">
        <f t="shared" si="9"/>
        <v>Fashion Sneakers</v>
      </c>
      <c r="AA4" s="4" t="str">
        <f t="shared" si="10"/>
        <v>ChennaiWest BengalMarketplace</v>
      </c>
      <c r="AB4" s="4" t="str">
        <f t="shared" si="11"/>
        <v>Marketplace Debit Card</v>
      </c>
      <c r="AC4" s="4" t="str">
        <f t="shared" si="12"/>
        <v>Fashion Sneakers</v>
      </c>
      <c r="AD4" s="4"/>
      <c r="AE4" s="4"/>
      <c r="AF4" s="4"/>
      <c r="AG4" s="4"/>
      <c r="AH4" s="6"/>
      <c r="AI4" s="4"/>
    </row>
    <row r="5" spans="1:35" x14ac:dyDescent="0.3">
      <c r="A5" s="4">
        <v>10004</v>
      </c>
      <c r="B5" s="4">
        <v>1270</v>
      </c>
      <c r="C5" s="5">
        <v>45079</v>
      </c>
      <c r="D5" s="5">
        <v>45087</v>
      </c>
      <c r="E5" s="4" t="s">
        <v>56</v>
      </c>
      <c r="F5" s="4" t="s">
        <v>50</v>
      </c>
      <c r="G5" s="4" t="s">
        <v>44</v>
      </c>
      <c r="H5" s="4" t="s">
        <v>57</v>
      </c>
      <c r="I5" s="4" t="s">
        <v>46</v>
      </c>
      <c r="J5" s="4" t="s">
        <v>58</v>
      </c>
      <c r="K5" s="4" t="s">
        <v>40</v>
      </c>
      <c r="L5" s="4">
        <v>1</v>
      </c>
      <c r="M5" s="4">
        <v>1008.79</v>
      </c>
      <c r="N5" s="4">
        <v>15</v>
      </c>
      <c r="O5" s="4">
        <v>857.47</v>
      </c>
      <c r="P5" s="4" t="s">
        <v>41</v>
      </c>
      <c r="Q5" s="4" t="str">
        <f t="shared" si="0"/>
        <v>Cash</v>
      </c>
      <c r="R5" s="4" t="str">
        <f t="shared" si="1"/>
        <v>Ca</v>
      </c>
      <c r="S5" s="4" t="str">
        <f t="shared" si="2"/>
        <v>ite</v>
      </c>
      <c r="T5" s="4" t="str">
        <f t="shared" si="3"/>
        <v xml:space="preserve">ga   </v>
      </c>
      <c r="U5" s="4">
        <f t="shared" si="4"/>
        <v>11</v>
      </c>
      <c r="V5" s="4" t="str">
        <f t="shared" si="5"/>
        <v>Yoga Mat</v>
      </c>
      <c r="W5" s="4" t="str">
        <f t="shared" si="6"/>
        <v>WEBSITE</v>
      </c>
      <c r="X5" s="4" t="str">
        <f t="shared" si="7"/>
        <v>website</v>
      </c>
      <c r="Y5" s="4" t="str">
        <f t="shared" si="8"/>
        <v>Website</v>
      </c>
      <c r="Z5" s="4" t="str">
        <f t="shared" si="9"/>
        <v xml:space="preserve">Sports Yoga    Mat  </v>
      </c>
      <c r="AA5" s="4" t="str">
        <f t="shared" si="10"/>
        <v>BengaluruWest BengalWebsite</v>
      </c>
      <c r="AB5" s="4" t="str">
        <f t="shared" si="11"/>
        <v>Website Cash on Delivery</v>
      </c>
      <c r="AC5" s="4" t="str">
        <f t="shared" si="12"/>
        <v xml:space="preserve">Sports Yoga    Mat  </v>
      </c>
      <c r="AD5" s="4"/>
      <c r="AE5" s="4"/>
      <c r="AF5" s="4"/>
      <c r="AG5" s="4"/>
      <c r="AH5" s="6"/>
      <c r="AI5" s="4"/>
    </row>
    <row r="6" spans="1:35" x14ac:dyDescent="0.3">
      <c r="A6" s="4">
        <v>10005</v>
      </c>
      <c r="B6" s="4">
        <v>1106</v>
      </c>
      <c r="C6" s="5">
        <v>45241</v>
      </c>
      <c r="D6" s="5">
        <v>45244</v>
      </c>
      <c r="E6" s="4" t="s">
        <v>59</v>
      </c>
      <c r="F6" s="4" t="s">
        <v>60</v>
      </c>
      <c r="G6" s="4" t="s">
        <v>51</v>
      </c>
      <c r="H6" s="4" t="s">
        <v>37</v>
      </c>
      <c r="I6" s="4" t="s">
        <v>52</v>
      </c>
      <c r="J6" s="4" t="s">
        <v>61</v>
      </c>
      <c r="K6" s="4" t="s">
        <v>40</v>
      </c>
      <c r="L6" s="4">
        <v>7</v>
      </c>
      <c r="M6" s="4">
        <v>3511.47</v>
      </c>
      <c r="N6" s="4">
        <v>20</v>
      </c>
      <c r="O6" s="4">
        <v>19664.23</v>
      </c>
      <c r="P6" s="4" t="s">
        <v>41</v>
      </c>
      <c r="Q6" s="4" t="str">
        <f t="shared" si="0"/>
        <v>Cred</v>
      </c>
      <c r="R6" s="4" t="str">
        <f t="shared" si="1"/>
        <v>Cr</v>
      </c>
      <c r="S6" s="4" t="str">
        <f t="shared" si="2"/>
        <v>ace</v>
      </c>
      <c r="T6" s="4" t="str">
        <f t="shared" si="3"/>
        <v>cket</v>
      </c>
      <c r="U6" s="4">
        <f t="shared" si="4"/>
        <v>9</v>
      </c>
      <c r="V6" s="4" t="str">
        <f t="shared" si="5"/>
        <v>Jacket</v>
      </c>
      <c r="W6" s="4" t="str">
        <f t="shared" si="6"/>
        <v>MARKETPLACE</v>
      </c>
      <c r="X6" s="4" t="str">
        <f t="shared" si="7"/>
        <v>marketplace</v>
      </c>
      <c r="Y6" s="4" t="str">
        <f t="shared" si="8"/>
        <v>Marketplace</v>
      </c>
      <c r="Z6" s="4" t="str">
        <f t="shared" si="9"/>
        <v>Fashion Jacket</v>
      </c>
      <c r="AA6" s="4" t="str">
        <f t="shared" si="10"/>
        <v>KolkataKarnatakaMarketplace</v>
      </c>
      <c r="AB6" s="4" t="str">
        <f t="shared" si="11"/>
        <v>Marketplace Credit Card</v>
      </c>
      <c r="AC6" s="4" t="str">
        <f t="shared" si="12"/>
        <v>Fashion Jacket</v>
      </c>
      <c r="AD6" s="4"/>
      <c r="AE6" s="4"/>
      <c r="AF6" s="4"/>
      <c r="AG6" s="4"/>
      <c r="AH6" s="6"/>
      <c r="AI6" s="4"/>
    </row>
    <row r="7" spans="1:35" x14ac:dyDescent="0.3">
      <c r="A7" s="4">
        <v>10006</v>
      </c>
      <c r="B7" s="4">
        <v>1071</v>
      </c>
      <c r="C7" s="5">
        <v>45260</v>
      </c>
      <c r="D7" s="5">
        <v>45263</v>
      </c>
      <c r="E7" s="4" t="s">
        <v>62</v>
      </c>
      <c r="F7" s="4" t="s">
        <v>63</v>
      </c>
      <c r="G7" s="4" t="s">
        <v>44</v>
      </c>
      <c r="H7" s="4" t="s">
        <v>64</v>
      </c>
      <c r="I7" s="4" t="s">
        <v>38</v>
      </c>
      <c r="J7" s="4" t="s">
        <v>65</v>
      </c>
      <c r="K7" s="4" t="s">
        <v>54</v>
      </c>
      <c r="L7" s="4">
        <v>3</v>
      </c>
      <c r="M7" s="4">
        <v>3189.55</v>
      </c>
      <c r="N7" s="4">
        <v>10</v>
      </c>
      <c r="O7" s="4">
        <v>8611.7800000000007</v>
      </c>
      <c r="P7" s="4" t="s">
        <v>55</v>
      </c>
      <c r="Q7" s="4" t="str">
        <f t="shared" si="0"/>
        <v xml:space="preserve">Net </v>
      </c>
      <c r="R7" s="4" t="str">
        <f t="shared" si="1"/>
        <v>Ne</v>
      </c>
      <c r="S7" s="4" t="str">
        <f t="shared" si="2"/>
        <v>ite</v>
      </c>
      <c r="T7" s="4" t="str">
        <f t="shared" si="3"/>
        <v>dshee</v>
      </c>
      <c r="U7" s="4">
        <f t="shared" si="4"/>
        <v>9</v>
      </c>
      <c r="V7" s="4" t="str">
        <f t="shared" si="5"/>
        <v>Bedsheet</v>
      </c>
      <c r="W7" s="4" t="str">
        <f t="shared" si="6"/>
        <v>WEBSITE</v>
      </c>
      <c r="X7" s="4" t="str">
        <f t="shared" si="7"/>
        <v>website</v>
      </c>
      <c r="Y7" s="4" t="str">
        <f t="shared" si="8"/>
        <v>Website</v>
      </c>
      <c r="Z7" s="4" t="str">
        <f t="shared" si="9"/>
        <v>Home &amp; Kitchen Bedsheet</v>
      </c>
      <c r="AA7" s="4" t="str">
        <f t="shared" si="10"/>
        <v>HyderabadTelanganaWebsite</v>
      </c>
      <c r="AB7" s="4" t="str">
        <f t="shared" si="11"/>
        <v>Website Net Banking</v>
      </c>
      <c r="AC7" s="4" t="str">
        <f t="shared" si="12"/>
        <v>Home &amp; Kitchen Bedsheet</v>
      </c>
      <c r="AD7" s="4"/>
      <c r="AE7" s="4"/>
      <c r="AF7" s="4"/>
      <c r="AG7" s="4"/>
      <c r="AH7" s="6"/>
      <c r="AI7" s="4"/>
    </row>
    <row r="8" spans="1:35" x14ac:dyDescent="0.3">
      <c r="A8" s="4">
        <v>10007</v>
      </c>
      <c r="B8" s="4">
        <v>1700</v>
      </c>
      <c r="C8" s="5">
        <v>45050</v>
      </c>
      <c r="D8" s="5">
        <v>45054</v>
      </c>
      <c r="E8" s="4" t="s">
        <v>56</v>
      </c>
      <c r="F8" s="4" t="s">
        <v>63</v>
      </c>
      <c r="G8" s="4" t="s">
        <v>36</v>
      </c>
      <c r="H8" s="4" t="s">
        <v>66</v>
      </c>
      <c r="I8" s="4" t="s">
        <v>52</v>
      </c>
      <c r="J8" s="4" t="s">
        <v>53</v>
      </c>
      <c r="K8" s="4" t="s">
        <v>67</v>
      </c>
      <c r="L8" s="4">
        <v>5</v>
      </c>
      <c r="M8" s="4">
        <v>3030.42</v>
      </c>
      <c r="N8" s="4">
        <v>10</v>
      </c>
      <c r="O8" s="4">
        <v>13636.89</v>
      </c>
      <c r="P8" s="4" t="s">
        <v>68</v>
      </c>
      <c r="Q8" s="4" t="str">
        <f t="shared" si="0"/>
        <v>UPI</v>
      </c>
      <c r="R8" s="4" t="str">
        <f t="shared" si="1"/>
        <v>UP</v>
      </c>
      <c r="S8" s="4" t="str">
        <f t="shared" si="2"/>
        <v>App</v>
      </c>
      <c r="T8" s="4" t="str">
        <f t="shared" si="3"/>
        <v>eaker</v>
      </c>
      <c r="U8" s="4">
        <f t="shared" si="4"/>
        <v>9</v>
      </c>
      <c r="V8" s="4" t="str">
        <f t="shared" si="5"/>
        <v>Sneakers</v>
      </c>
      <c r="W8" s="4" t="str">
        <f t="shared" si="6"/>
        <v>MOBILE APP</v>
      </c>
      <c r="X8" s="4" t="str">
        <f t="shared" si="7"/>
        <v>mobile app</v>
      </c>
      <c r="Y8" s="4" t="str">
        <f t="shared" si="8"/>
        <v>Mobile App</v>
      </c>
      <c r="Z8" s="4" t="str">
        <f t="shared" si="9"/>
        <v>Fashion Sneakers</v>
      </c>
      <c r="AA8" s="4" t="str">
        <f t="shared" si="10"/>
        <v>BengaluruTelanganaMobile App</v>
      </c>
      <c r="AB8" s="4" t="str">
        <f t="shared" si="11"/>
        <v>Mobile App UPI</v>
      </c>
      <c r="AC8" s="4" t="str">
        <f t="shared" si="12"/>
        <v>Fashion Sneakers</v>
      </c>
      <c r="AD8" s="4"/>
      <c r="AE8" s="4"/>
      <c r="AF8" s="4"/>
      <c r="AG8" s="4"/>
      <c r="AH8" s="6"/>
      <c r="AI8" s="4"/>
    </row>
    <row r="9" spans="1:35" x14ac:dyDescent="0.3">
      <c r="A9" s="4">
        <v>10008</v>
      </c>
      <c r="B9" s="4">
        <v>1020</v>
      </c>
      <c r="C9" s="5">
        <v>45040</v>
      </c>
      <c r="D9" s="5">
        <v>45041</v>
      </c>
      <c r="E9" s="4" t="s">
        <v>69</v>
      </c>
      <c r="F9" s="4" t="s">
        <v>35</v>
      </c>
      <c r="G9" s="4" t="s">
        <v>44</v>
      </c>
      <c r="H9" s="4" t="s">
        <v>37</v>
      </c>
      <c r="I9" s="4" t="s">
        <v>52</v>
      </c>
      <c r="J9" s="4" t="s">
        <v>53</v>
      </c>
      <c r="K9" s="4" t="s">
        <v>70</v>
      </c>
      <c r="L9" s="4">
        <v>4</v>
      </c>
      <c r="M9" s="4">
        <v>2310.83</v>
      </c>
      <c r="N9" s="4">
        <v>10</v>
      </c>
      <c r="O9" s="4">
        <v>8318.99</v>
      </c>
      <c r="P9" s="4" t="s">
        <v>71</v>
      </c>
      <c r="Q9" s="4" t="str">
        <f t="shared" si="0"/>
        <v>Cred</v>
      </c>
      <c r="R9" s="4" t="str">
        <f t="shared" si="1"/>
        <v>Cr</v>
      </c>
      <c r="S9" s="4" t="str">
        <f t="shared" si="2"/>
        <v>ite</v>
      </c>
      <c r="T9" s="4" t="str">
        <f t="shared" si="3"/>
        <v>eaker</v>
      </c>
      <c r="U9" s="4">
        <f t="shared" si="4"/>
        <v>5</v>
      </c>
      <c r="V9" s="4" t="str">
        <f t="shared" si="5"/>
        <v>Sneakers</v>
      </c>
      <c r="W9" s="4" t="str">
        <f t="shared" si="6"/>
        <v>WEBSITE</v>
      </c>
      <c r="X9" s="4" t="str">
        <f t="shared" si="7"/>
        <v>website</v>
      </c>
      <c r="Y9" s="4" t="str">
        <f t="shared" si="8"/>
        <v>Website</v>
      </c>
      <c r="Z9" s="4" t="str">
        <f t="shared" si="9"/>
        <v>Fashion Sneakers</v>
      </c>
      <c r="AA9" s="4" t="str">
        <f t="shared" si="10"/>
        <v>MumbaiDelhiWebsite</v>
      </c>
      <c r="AB9" s="4" t="str">
        <f t="shared" si="11"/>
        <v>Website Credit Card</v>
      </c>
      <c r="AC9" s="4" t="str">
        <f t="shared" si="12"/>
        <v>Fashion Sneakers</v>
      </c>
      <c r="AD9" s="4"/>
      <c r="AE9" s="4"/>
      <c r="AF9" s="4"/>
      <c r="AG9" s="4"/>
      <c r="AH9" s="6"/>
      <c r="AI9" s="4"/>
    </row>
    <row r="10" spans="1:35" x14ac:dyDescent="0.3">
      <c r="A10" s="4">
        <v>10009</v>
      </c>
      <c r="B10" s="4">
        <v>1614</v>
      </c>
      <c r="C10" s="5">
        <v>45204</v>
      </c>
      <c r="D10" s="5">
        <v>45213</v>
      </c>
      <c r="E10" s="4" t="s">
        <v>34</v>
      </c>
      <c r="F10" s="4" t="s">
        <v>50</v>
      </c>
      <c r="G10" s="4" t="s">
        <v>44</v>
      </c>
      <c r="H10" s="4" t="s">
        <v>45</v>
      </c>
      <c r="I10" s="4" t="s">
        <v>52</v>
      </c>
      <c r="J10" s="4" t="s">
        <v>72</v>
      </c>
      <c r="K10" s="4" t="s">
        <v>48</v>
      </c>
      <c r="L10" s="4">
        <v>5</v>
      </c>
      <c r="M10" s="4">
        <v>1098.04</v>
      </c>
      <c r="N10" s="4">
        <v>15</v>
      </c>
      <c r="O10" s="4">
        <v>4666.67</v>
      </c>
      <c r="P10" s="4" t="s">
        <v>49</v>
      </c>
      <c r="Q10" s="4" t="str">
        <f t="shared" si="0"/>
        <v>Debi</v>
      </c>
      <c r="R10" s="4" t="str">
        <f t="shared" si="1"/>
        <v>De</v>
      </c>
      <c r="S10" s="4" t="str">
        <f t="shared" si="2"/>
        <v>ite</v>
      </c>
      <c r="T10" s="4" t="str">
        <f t="shared" si="3"/>
        <v>Shirt</v>
      </c>
      <c r="U10" s="4">
        <f t="shared" si="4"/>
        <v>11</v>
      </c>
      <c r="V10" s="4" t="str">
        <f t="shared" si="5"/>
        <v>T-Shirt</v>
      </c>
      <c r="W10" s="4" t="str">
        <f t="shared" si="6"/>
        <v>WEBSITE</v>
      </c>
      <c r="X10" s="4" t="str">
        <f t="shared" si="7"/>
        <v>website</v>
      </c>
      <c r="Y10" s="4" t="str">
        <f t="shared" si="8"/>
        <v>Website</v>
      </c>
      <c r="Z10" s="4" t="str">
        <f t="shared" si="9"/>
        <v>Fashion T-Shirt</v>
      </c>
      <c r="AA10" s="4" t="str">
        <f t="shared" si="10"/>
        <v>ChennaiWest BengalWebsite</v>
      </c>
      <c r="AB10" s="4" t="str">
        <f t="shared" si="11"/>
        <v>Website Debit Card</v>
      </c>
      <c r="AC10" s="4" t="str">
        <f t="shared" si="12"/>
        <v>Fashion T-Shirt</v>
      </c>
      <c r="AD10" s="4"/>
      <c r="AE10" s="4"/>
      <c r="AF10" s="4"/>
      <c r="AG10" s="4"/>
      <c r="AH10" s="6"/>
      <c r="AI10" s="4"/>
    </row>
    <row r="11" spans="1:35" x14ac:dyDescent="0.3">
      <c r="A11" s="4">
        <v>10010</v>
      </c>
      <c r="B11" s="4">
        <v>1121</v>
      </c>
      <c r="C11" s="5">
        <v>45139</v>
      </c>
      <c r="D11" s="5">
        <v>45147</v>
      </c>
      <c r="E11" s="4" t="s">
        <v>56</v>
      </c>
      <c r="F11" s="4" t="s">
        <v>60</v>
      </c>
      <c r="G11" s="4" t="s">
        <v>44</v>
      </c>
      <c r="H11" s="4" t="s">
        <v>57</v>
      </c>
      <c r="I11" s="4" t="s">
        <v>73</v>
      </c>
      <c r="J11" s="4" t="s">
        <v>74</v>
      </c>
      <c r="K11" s="4" t="s">
        <v>70</v>
      </c>
      <c r="L11" s="4">
        <v>5</v>
      </c>
      <c r="M11" s="4">
        <v>1780.66</v>
      </c>
      <c r="N11" s="4">
        <v>20</v>
      </c>
      <c r="O11" s="4">
        <v>7122.64</v>
      </c>
      <c r="P11" s="4" t="s">
        <v>71</v>
      </c>
      <c r="Q11" s="4" t="str">
        <f t="shared" si="0"/>
        <v>Cash</v>
      </c>
      <c r="R11" s="4" t="str">
        <f t="shared" si="1"/>
        <v>Ca</v>
      </c>
      <c r="S11" s="4" t="str">
        <f t="shared" si="2"/>
        <v>ite</v>
      </c>
      <c r="T11" s="4" t="str">
        <f t="shared" si="3"/>
        <v>adpho</v>
      </c>
      <c r="U11" s="4">
        <f t="shared" si="4"/>
        <v>9</v>
      </c>
      <c r="V11" s="4" t="str">
        <f t="shared" si="5"/>
        <v>Headphones</v>
      </c>
      <c r="W11" s="4" t="str">
        <f t="shared" si="6"/>
        <v>WEBSITE</v>
      </c>
      <c r="X11" s="4" t="str">
        <f t="shared" si="7"/>
        <v>website</v>
      </c>
      <c r="Y11" s="4" t="str">
        <f t="shared" si="8"/>
        <v>Website</v>
      </c>
      <c r="Z11" s="4" t="str">
        <f t="shared" si="9"/>
        <v>Electronics Headphones</v>
      </c>
      <c r="AA11" s="4" t="str">
        <f t="shared" si="10"/>
        <v>BengaluruKarnatakaWebsite</v>
      </c>
      <c r="AB11" s="4" t="str">
        <f t="shared" si="11"/>
        <v>Website Cash on Delivery</v>
      </c>
      <c r="AC11" s="4" t="str">
        <f t="shared" si="12"/>
        <v>Electronics Headphones</v>
      </c>
      <c r="AD11" s="4"/>
      <c r="AE11" s="4"/>
      <c r="AF11" s="4"/>
      <c r="AG11" s="4"/>
      <c r="AH11" s="6"/>
      <c r="AI11" s="4"/>
    </row>
    <row r="12" spans="1:35" x14ac:dyDescent="0.3">
      <c r="A12" s="4">
        <v>10011</v>
      </c>
      <c r="B12" s="4">
        <v>1466</v>
      </c>
      <c r="C12" s="5">
        <v>45098</v>
      </c>
      <c r="D12" s="5">
        <v>45106</v>
      </c>
      <c r="E12" s="4" t="s">
        <v>56</v>
      </c>
      <c r="F12" s="4" t="s">
        <v>60</v>
      </c>
      <c r="G12" s="4" t="s">
        <v>36</v>
      </c>
      <c r="H12" s="4" t="s">
        <v>57</v>
      </c>
      <c r="I12" s="4" t="s">
        <v>73</v>
      </c>
      <c r="J12" s="4" t="s">
        <v>74</v>
      </c>
      <c r="K12" s="4" t="s">
        <v>54</v>
      </c>
      <c r="L12" s="4">
        <v>6</v>
      </c>
      <c r="M12" s="4">
        <v>3205.25</v>
      </c>
      <c r="N12" s="4">
        <v>0</v>
      </c>
      <c r="O12" s="4">
        <v>19231.5</v>
      </c>
      <c r="P12" s="4" t="s">
        <v>55</v>
      </c>
      <c r="Q12" s="4" t="str">
        <f t="shared" si="0"/>
        <v>Cash</v>
      </c>
      <c r="R12" s="4" t="str">
        <f t="shared" si="1"/>
        <v>Ca</v>
      </c>
      <c r="S12" s="4" t="str">
        <f t="shared" si="2"/>
        <v>App</v>
      </c>
      <c r="T12" s="4" t="str">
        <f t="shared" si="3"/>
        <v>adpho</v>
      </c>
      <c r="U12" s="4">
        <f t="shared" si="4"/>
        <v>9</v>
      </c>
      <c r="V12" s="4" t="str">
        <f t="shared" si="5"/>
        <v>Headphones</v>
      </c>
      <c r="W12" s="4" t="str">
        <f t="shared" si="6"/>
        <v>MOBILE APP</v>
      </c>
      <c r="X12" s="4" t="str">
        <f t="shared" si="7"/>
        <v>mobile app</v>
      </c>
      <c r="Y12" s="4" t="str">
        <f t="shared" si="8"/>
        <v>Mobile App</v>
      </c>
      <c r="Z12" s="4" t="str">
        <f t="shared" si="9"/>
        <v>Electronics Headphones</v>
      </c>
      <c r="AA12" s="4" t="str">
        <f t="shared" si="10"/>
        <v>BengaluruKarnatakaMobile App</v>
      </c>
      <c r="AB12" s="4" t="str">
        <f t="shared" si="11"/>
        <v>Mobile App Cash on Delivery</v>
      </c>
      <c r="AC12" s="4" t="str">
        <f t="shared" si="12"/>
        <v>Electronics Headphones</v>
      </c>
      <c r="AD12" s="4"/>
      <c r="AE12" s="4"/>
      <c r="AF12" s="4"/>
      <c r="AG12" s="4"/>
      <c r="AH12" s="6"/>
      <c r="AI12" s="4"/>
    </row>
    <row r="13" spans="1:35" x14ac:dyDescent="0.3">
      <c r="A13" s="4">
        <v>10012</v>
      </c>
      <c r="B13" s="4">
        <v>1214</v>
      </c>
      <c r="C13" s="5">
        <v>45214</v>
      </c>
      <c r="D13" s="5">
        <v>45220</v>
      </c>
      <c r="E13" s="4" t="s">
        <v>69</v>
      </c>
      <c r="F13" s="4" t="s">
        <v>43</v>
      </c>
      <c r="G13" s="4" t="s">
        <v>44</v>
      </c>
      <c r="H13" s="4" t="s">
        <v>66</v>
      </c>
      <c r="I13" s="4" t="s">
        <v>73</v>
      </c>
      <c r="J13" s="4" t="s">
        <v>75</v>
      </c>
      <c r="K13" s="4" t="s">
        <v>40</v>
      </c>
      <c r="L13" s="4">
        <v>6</v>
      </c>
      <c r="M13" s="4">
        <v>272.35000000000002</v>
      </c>
      <c r="N13" s="4">
        <v>5</v>
      </c>
      <c r="O13" s="4">
        <v>1552.39</v>
      </c>
      <c r="P13" s="4" t="s">
        <v>41</v>
      </c>
      <c r="Q13" s="4" t="str">
        <f t="shared" si="0"/>
        <v>UPI</v>
      </c>
      <c r="R13" s="4" t="str">
        <f t="shared" si="1"/>
        <v>UP</v>
      </c>
      <c r="S13" s="4" t="str">
        <f t="shared" si="2"/>
        <v>ite</v>
      </c>
      <c r="T13" s="4" t="str">
        <f t="shared" si="3"/>
        <v>artwa</v>
      </c>
      <c r="U13" s="4">
        <f t="shared" si="4"/>
        <v>10</v>
      </c>
      <c r="V13" s="4" t="str">
        <f t="shared" si="5"/>
        <v>Smartwatch</v>
      </c>
      <c r="W13" s="4" t="str">
        <f t="shared" si="6"/>
        <v>WEBSITE</v>
      </c>
      <c r="X13" s="4" t="str">
        <f t="shared" si="7"/>
        <v>website</v>
      </c>
      <c r="Y13" s="4" t="str">
        <f t="shared" si="8"/>
        <v>Website</v>
      </c>
      <c r="Z13" s="4" t="str">
        <f t="shared" si="9"/>
        <v>Electronics Smartwatch</v>
      </c>
      <c r="AA13" s="4" t="str">
        <f t="shared" si="10"/>
        <v>MumbaiTamil NaduWebsite</v>
      </c>
      <c r="AB13" s="4" t="str">
        <f t="shared" si="11"/>
        <v>Website UPI</v>
      </c>
      <c r="AC13" s="4" t="str">
        <f t="shared" si="12"/>
        <v>Electronics Smartwatch</v>
      </c>
      <c r="AD13" s="4"/>
      <c r="AE13" s="4"/>
      <c r="AF13" s="4"/>
      <c r="AG13" s="4"/>
      <c r="AH13" s="6"/>
      <c r="AI13" s="4"/>
    </row>
    <row r="14" spans="1:35" x14ac:dyDescent="0.3">
      <c r="A14" s="4">
        <v>10013</v>
      </c>
      <c r="B14" s="4">
        <v>1330</v>
      </c>
      <c r="C14" s="5">
        <v>45100</v>
      </c>
      <c r="D14" s="5">
        <v>45107</v>
      </c>
      <c r="E14" s="4" t="s">
        <v>35</v>
      </c>
      <c r="F14" s="4" t="s">
        <v>43</v>
      </c>
      <c r="G14" s="4" t="s">
        <v>36</v>
      </c>
      <c r="H14" s="4" t="s">
        <v>57</v>
      </c>
      <c r="I14" s="4" t="s">
        <v>38</v>
      </c>
      <c r="J14" s="4" t="s">
        <v>65</v>
      </c>
      <c r="K14" s="4" t="s">
        <v>40</v>
      </c>
      <c r="L14" s="4">
        <v>8</v>
      </c>
      <c r="M14" s="4">
        <v>3160.9</v>
      </c>
      <c r="N14" s="4">
        <v>0</v>
      </c>
      <c r="O14" s="4">
        <v>25287.200000000001</v>
      </c>
      <c r="P14" s="4" t="s">
        <v>41</v>
      </c>
      <c r="Q14" s="4" t="str">
        <f t="shared" si="0"/>
        <v>Cash</v>
      </c>
      <c r="R14" s="4" t="str">
        <f t="shared" si="1"/>
        <v>Ca</v>
      </c>
      <c r="S14" s="4" t="str">
        <f t="shared" si="2"/>
        <v>App</v>
      </c>
      <c r="T14" s="4" t="str">
        <f t="shared" si="3"/>
        <v>dshee</v>
      </c>
      <c r="U14" s="4">
        <f t="shared" si="4"/>
        <v>10</v>
      </c>
      <c r="V14" s="4" t="str">
        <f t="shared" si="5"/>
        <v>Bedsheet</v>
      </c>
      <c r="W14" s="4" t="str">
        <f t="shared" si="6"/>
        <v>MOBILE APP</v>
      </c>
      <c r="X14" s="4" t="str">
        <f t="shared" si="7"/>
        <v>mobile app</v>
      </c>
      <c r="Y14" s="4" t="str">
        <f t="shared" si="8"/>
        <v>Mobile App</v>
      </c>
      <c r="Z14" s="4" t="str">
        <f t="shared" si="9"/>
        <v>Home &amp; Kitchen Bedsheet</v>
      </c>
      <c r="AA14" s="4" t="str">
        <f t="shared" si="10"/>
        <v>DelhiTamil NaduMobile App</v>
      </c>
      <c r="AB14" s="4" t="str">
        <f t="shared" si="11"/>
        <v>Mobile App Cash on Delivery</v>
      </c>
      <c r="AC14" s="4" t="str">
        <f t="shared" si="12"/>
        <v>Home &amp; Kitchen Bedsheet</v>
      </c>
      <c r="AD14" s="4"/>
      <c r="AE14" s="4"/>
      <c r="AF14" s="4"/>
      <c r="AG14" s="4"/>
      <c r="AH14" s="6"/>
      <c r="AI14" s="4"/>
    </row>
    <row r="15" spans="1:35" x14ac:dyDescent="0.3">
      <c r="A15" s="4">
        <v>10014</v>
      </c>
      <c r="B15" s="4">
        <v>1458</v>
      </c>
      <c r="C15" s="5">
        <v>45039</v>
      </c>
      <c r="D15" s="5">
        <v>45045</v>
      </c>
      <c r="E15" s="4" t="s">
        <v>59</v>
      </c>
      <c r="F15" s="4" t="s">
        <v>60</v>
      </c>
      <c r="G15" s="4" t="s">
        <v>51</v>
      </c>
      <c r="H15" s="4" t="s">
        <v>57</v>
      </c>
      <c r="I15" s="4" t="s">
        <v>46</v>
      </c>
      <c r="J15" s="4" t="s">
        <v>76</v>
      </c>
      <c r="K15" s="4" t="s">
        <v>48</v>
      </c>
      <c r="L15" s="4">
        <v>8</v>
      </c>
      <c r="M15" s="4">
        <v>1074.27</v>
      </c>
      <c r="N15" s="4">
        <v>15</v>
      </c>
      <c r="O15" s="4">
        <v>7305.04</v>
      </c>
      <c r="P15" s="4" t="s">
        <v>49</v>
      </c>
      <c r="Q15" s="4" t="str">
        <f t="shared" si="0"/>
        <v>Cash</v>
      </c>
      <c r="R15" s="4" t="str">
        <f t="shared" si="1"/>
        <v>Ca</v>
      </c>
      <c r="S15" s="4" t="str">
        <f t="shared" si="2"/>
        <v>ace</v>
      </c>
      <c r="T15" s="4" t="str">
        <f t="shared" si="3"/>
        <v>ga Ma</v>
      </c>
      <c r="U15" s="4">
        <f t="shared" si="4"/>
        <v>9</v>
      </c>
      <c r="V15" s="4" t="str">
        <f t="shared" si="5"/>
        <v>Yoga Mat</v>
      </c>
      <c r="W15" s="4" t="str">
        <f t="shared" si="6"/>
        <v>MARKETPLACE</v>
      </c>
      <c r="X15" s="4" t="str">
        <f t="shared" si="7"/>
        <v>marketplace</v>
      </c>
      <c r="Y15" s="4" t="str">
        <f t="shared" si="8"/>
        <v>Marketplace</v>
      </c>
      <c r="Z15" s="4" t="str">
        <f t="shared" si="9"/>
        <v>Sports Yoga Mat</v>
      </c>
      <c r="AA15" s="4" t="str">
        <f t="shared" si="10"/>
        <v>KolkataKarnatakaMarketplace</v>
      </c>
      <c r="AB15" s="4" t="str">
        <f t="shared" si="11"/>
        <v>Marketplace Cash on Delivery</v>
      </c>
      <c r="AC15" s="4" t="str">
        <f t="shared" si="12"/>
        <v>Sports Yoga Mat</v>
      </c>
      <c r="AD15" s="4"/>
      <c r="AE15" s="4"/>
      <c r="AF15" s="4"/>
      <c r="AG15" s="4"/>
      <c r="AH15" s="6"/>
      <c r="AI15" s="4"/>
    </row>
    <row r="16" spans="1:35" x14ac:dyDescent="0.3">
      <c r="A16" s="4">
        <v>10015</v>
      </c>
      <c r="B16" s="4">
        <v>1087</v>
      </c>
      <c r="C16" s="5">
        <v>45048</v>
      </c>
      <c r="D16" s="5">
        <v>45057</v>
      </c>
      <c r="E16" s="4" t="s">
        <v>62</v>
      </c>
      <c r="F16" s="4" t="s">
        <v>43</v>
      </c>
      <c r="G16" s="4" t="s">
        <v>44</v>
      </c>
      <c r="H16" s="4" t="s">
        <v>37</v>
      </c>
      <c r="I16" s="4" t="s">
        <v>77</v>
      </c>
      <c r="J16" s="4" t="s">
        <v>78</v>
      </c>
      <c r="K16" s="4" t="s">
        <v>40</v>
      </c>
      <c r="L16" s="4">
        <v>9</v>
      </c>
      <c r="M16" s="4">
        <v>705.59</v>
      </c>
      <c r="N16" s="4">
        <v>10</v>
      </c>
      <c r="O16" s="4">
        <v>5715.28</v>
      </c>
      <c r="P16" s="4" t="s">
        <v>41</v>
      </c>
      <c r="Q16" s="4" t="str">
        <f t="shared" si="0"/>
        <v>Cred</v>
      </c>
      <c r="R16" s="4" t="str">
        <f t="shared" si="1"/>
        <v>Cr</v>
      </c>
      <c r="S16" s="4" t="str">
        <f t="shared" si="2"/>
        <v>ite</v>
      </c>
      <c r="T16" s="4" t="str">
        <f t="shared" si="3"/>
        <v>ampoo</v>
      </c>
      <c r="U16" s="4">
        <f t="shared" si="4"/>
        <v>10</v>
      </c>
      <c r="V16" s="4" t="str">
        <f t="shared" si="5"/>
        <v>Shampoo</v>
      </c>
      <c r="W16" s="4" t="str">
        <f t="shared" si="6"/>
        <v>WEBSITE</v>
      </c>
      <c r="X16" s="4" t="str">
        <f t="shared" si="7"/>
        <v>website</v>
      </c>
      <c r="Y16" s="4" t="str">
        <f t="shared" si="8"/>
        <v>Website</v>
      </c>
      <c r="Z16" s="4" t="str">
        <f t="shared" si="9"/>
        <v>Beauty Shampoo</v>
      </c>
      <c r="AA16" s="4" t="str">
        <f t="shared" si="10"/>
        <v>HyderabadTamil NaduWebsite</v>
      </c>
      <c r="AB16" s="4" t="str">
        <f t="shared" si="11"/>
        <v>Website Credit Card</v>
      </c>
      <c r="AC16" s="4" t="str">
        <f t="shared" si="12"/>
        <v>Beauty Shampoo</v>
      </c>
      <c r="AD16" s="4"/>
      <c r="AE16" s="4"/>
      <c r="AF16" s="4"/>
      <c r="AG16" s="4"/>
      <c r="AH16" s="6"/>
      <c r="AI16" s="4"/>
    </row>
    <row r="17" spans="1:35" x14ac:dyDescent="0.3">
      <c r="A17" s="4">
        <v>10016</v>
      </c>
      <c r="B17" s="4">
        <v>1372</v>
      </c>
      <c r="C17" s="5">
        <v>44958</v>
      </c>
      <c r="D17" s="5">
        <v>44961</v>
      </c>
      <c r="E17" s="4" t="s">
        <v>42</v>
      </c>
      <c r="F17" s="4" t="s">
        <v>50</v>
      </c>
      <c r="G17" s="4" t="s">
        <v>36</v>
      </c>
      <c r="H17" s="4" t="s">
        <v>64</v>
      </c>
      <c r="I17" s="4" t="s">
        <v>52</v>
      </c>
      <c r="J17" s="4" t="s">
        <v>61</v>
      </c>
      <c r="K17" s="4" t="s">
        <v>40</v>
      </c>
      <c r="L17" s="4">
        <v>8</v>
      </c>
      <c r="M17" s="4">
        <v>595.45000000000005</v>
      </c>
      <c r="N17" s="4">
        <v>5</v>
      </c>
      <c r="O17" s="4">
        <v>4525.42</v>
      </c>
      <c r="P17" s="4" t="s">
        <v>41</v>
      </c>
      <c r="Q17" s="4" t="str">
        <f t="shared" si="0"/>
        <v xml:space="preserve">Net </v>
      </c>
      <c r="R17" s="4" t="str">
        <f t="shared" si="1"/>
        <v>Ne</v>
      </c>
      <c r="S17" s="4" t="str">
        <f t="shared" si="2"/>
        <v>App</v>
      </c>
      <c r="T17" s="4" t="str">
        <f t="shared" si="3"/>
        <v>cket</v>
      </c>
      <c r="U17" s="4">
        <f t="shared" si="4"/>
        <v>11</v>
      </c>
      <c r="V17" s="4" t="str">
        <f t="shared" si="5"/>
        <v>Jacket</v>
      </c>
      <c r="W17" s="4" t="str">
        <f t="shared" si="6"/>
        <v>MOBILE APP</v>
      </c>
      <c r="X17" s="4" t="str">
        <f t="shared" si="7"/>
        <v>mobile app</v>
      </c>
      <c r="Y17" s="4" t="str">
        <f t="shared" si="8"/>
        <v>Mobile App</v>
      </c>
      <c r="Z17" s="4" t="str">
        <f t="shared" si="9"/>
        <v>Fashion Jacket</v>
      </c>
      <c r="AA17" s="4" t="str">
        <f t="shared" si="10"/>
        <v>PuneWest BengalMobile App</v>
      </c>
      <c r="AB17" s="4" t="str">
        <f t="shared" si="11"/>
        <v>Mobile App Net Banking</v>
      </c>
      <c r="AC17" s="4" t="str">
        <f t="shared" si="12"/>
        <v>Fashion Jacket</v>
      </c>
      <c r="AD17" s="4"/>
      <c r="AE17" s="4"/>
      <c r="AF17" s="4"/>
      <c r="AG17" s="4"/>
      <c r="AH17" s="6"/>
      <c r="AI17" s="4"/>
    </row>
    <row r="18" spans="1:35" x14ac:dyDescent="0.3">
      <c r="A18" s="4">
        <v>10017</v>
      </c>
      <c r="B18" s="4">
        <v>1099</v>
      </c>
      <c r="C18" s="5">
        <v>45148</v>
      </c>
      <c r="D18" s="5">
        <v>45151</v>
      </c>
      <c r="E18" s="4" t="s">
        <v>35</v>
      </c>
      <c r="F18" s="4" t="s">
        <v>79</v>
      </c>
      <c r="G18" s="4" t="s">
        <v>36</v>
      </c>
      <c r="H18" s="4" t="s">
        <v>66</v>
      </c>
      <c r="I18" s="4" t="s">
        <v>52</v>
      </c>
      <c r="J18" s="4" t="s">
        <v>61</v>
      </c>
      <c r="K18" s="4" t="s">
        <v>48</v>
      </c>
      <c r="L18" s="4">
        <v>2</v>
      </c>
      <c r="M18" s="4">
        <v>254.91</v>
      </c>
      <c r="N18" s="4">
        <v>15</v>
      </c>
      <c r="O18" s="4">
        <v>433.35</v>
      </c>
      <c r="P18" s="4" t="s">
        <v>49</v>
      </c>
      <c r="Q18" s="4" t="str">
        <f t="shared" si="0"/>
        <v>UPI</v>
      </c>
      <c r="R18" s="4" t="str">
        <f t="shared" si="1"/>
        <v>UP</v>
      </c>
      <c r="S18" s="4" t="str">
        <f t="shared" si="2"/>
        <v>App</v>
      </c>
      <c r="T18" s="4" t="str">
        <f t="shared" si="3"/>
        <v>cket</v>
      </c>
      <c r="U18" s="4">
        <f t="shared" si="4"/>
        <v>11</v>
      </c>
      <c r="V18" s="4" t="str">
        <f t="shared" si="5"/>
        <v>Jacket</v>
      </c>
      <c r="W18" s="4" t="str">
        <f t="shared" si="6"/>
        <v>MOBILE APP</v>
      </c>
      <c r="X18" s="4" t="str">
        <f t="shared" si="7"/>
        <v>mobile app</v>
      </c>
      <c r="Y18" s="4" t="str">
        <f t="shared" si="8"/>
        <v>Mobile App</v>
      </c>
      <c r="Z18" s="4" t="str">
        <f t="shared" si="9"/>
        <v>Fashion Jacket</v>
      </c>
      <c r="AA18" s="4" t="str">
        <f t="shared" si="10"/>
        <v>DelhiMaharashtraMobile App</v>
      </c>
      <c r="AB18" s="4" t="str">
        <f t="shared" si="11"/>
        <v>Mobile App UPI</v>
      </c>
      <c r="AC18" s="4" t="str">
        <f t="shared" si="12"/>
        <v>Fashion Jacket</v>
      </c>
      <c r="AD18" s="4"/>
      <c r="AE18" s="4"/>
      <c r="AF18" s="4"/>
      <c r="AG18" s="4"/>
      <c r="AH18" s="6"/>
      <c r="AI18" s="4"/>
    </row>
    <row r="19" spans="1:35" x14ac:dyDescent="0.3">
      <c r="A19" s="4">
        <v>10018</v>
      </c>
      <c r="B19" s="4">
        <v>1871</v>
      </c>
      <c r="C19" s="5">
        <v>45045</v>
      </c>
      <c r="D19" s="5">
        <v>45048</v>
      </c>
      <c r="E19" s="4" t="s">
        <v>34</v>
      </c>
      <c r="F19" s="4" t="s">
        <v>50</v>
      </c>
      <c r="G19" s="4" t="s">
        <v>44</v>
      </c>
      <c r="H19" s="4" t="s">
        <v>37</v>
      </c>
      <c r="I19" s="4" t="s">
        <v>38</v>
      </c>
      <c r="J19" s="4" t="s">
        <v>80</v>
      </c>
      <c r="K19" s="4" t="s">
        <v>48</v>
      </c>
      <c r="L19" s="4">
        <v>1</v>
      </c>
      <c r="M19" s="4">
        <v>2165.81</v>
      </c>
      <c r="N19" s="4">
        <v>15</v>
      </c>
      <c r="O19" s="4">
        <v>1840.94</v>
      </c>
      <c r="P19" s="4" t="s">
        <v>49</v>
      </c>
      <c r="Q19" s="4" t="str">
        <f t="shared" si="0"/>
        <v>Cred</v>
      </c>
      <c r="R19" s="4" t="str">
        <f t="shared" si="1"/>
        <v>Cr</v>
      </c>
      <c r="S19" s="4" t="str">
        <f t="shared" si="2"/>
        <v>ite</v>
      </c>
      <c r="T19" s="4" t="str">
        <f t="shared" si="3"/>
        <v>rtain</v>
      </c>
      <c r="U19" s="4">
        <f t="shared" si="4"/>
        <v>11</v>
      </c>
      <c r="V19" s="4" t="str">
        <f t="shared" si="5"/>
        <v>Curtains</v>
      </c>
      <c r="W19" s="4" t="str">
        <f t="shared" si="6"/>
        <v>WEBSITE</v>
      </c>
      <c r="X19" s="4" t="str">
        <f t="shared" si="7"/>
        <v>website</v>
      </c>
      <c r="Y19" s="4" t="str">
        <f t="shared" si="8"/>
        <v>Website</v>
      </c>
      <c r="Z19" s="4" t="str">
        <f t="shared" si="9"/>
        <v>Home &amp; Kitchen Curtains</v>
      </c>
      <c r="AA19" s="4" t="str">
        <f t="shared" si="10"/>
        <v>ChennaiWest BengalWebsite</v>
      </c>
      <c r="AB19" s="4" t="str">
        <f t="shared" si="11"/>
        <v>Website Credit Card</v>
      </c>
      <c r="AC19" s="4" t="str">
        <f t="shared" si="12"/>
        <v>Home &amp; Kitchen Curtains</v>
      </c>
      <c r="AD19" s="4"/>
      <c r="AE19" s="4"/>
      <c r="AF19" s="4"/>
      <c r="AG19" s="4"/>
      <c r="AH19" s="6"/>
      <c r="AI19" s="4"/>
    </row>
    <row r="20" spans="1:35" x14ac:dyDescent="0.3">
      <c r="A20" s="4">
        <v>10019</v>
      </c>
      <c r="B20" s="4">
        <v>1663</v>
      </c>
      <c r="C20" s="5">
        <v>44965</v>
      </c>
      <c r="D20" s="5">
        <v>44968</v>
      </c>
      <c r="E20" s="4" t="s">
        <v>56</v>
      </c>
      <c r="F20" s="4" t="s">
        <v>60</v>
      </c>
      <c r="G20" s="4" t="s">
        <v>51</v>
      </c>
      <c r="H20" s="4" t="s">
        <v>64</v>
      </c>
      <c r="I20" s="4" t="s">
        <v>52</v>
      </c>
      <c r="J20" s="4" t="s">
        <v>61</v>
      </c>
      <c r="K20" s="4" t="s">
        <v>54</v>
      </c>
      <c r="L20" s="4">
        <v>2</v>
      </c>
      <c r="M20" s="4">
        <v>990.3</v>
      </c>
      <c r="N20" s="4">
        <v>15</v>
      </c>
      <c r="O20" s="4">
        <v>1683.51</v>
      </c>
      <c r="P20" s="4" t="s">
        <v>55</v>
      </c>
      <c r="Q20" s="4" t="str">
        <f t="shared" si="0"/>
        <v xml:space="preserve">Net </v>
      </c>
      <c r="R20" s="4" t="str">
        <f t="shared" si="1"/>
        <v>Ne</v>
      </c>
      <c r="S20" s="4" t="str">
        <f t="shared" si="2"/>
        <v>ace</v>
      </c>
      <c r="T20" s="4" t="str">
        <f t="shared" si="3"/>
        <v>cket</v>
      </c>
      <c r="U20" s="4">
        <f t="shared" si="4"/>
        <v>9</v>
      </c>
      <c r="V20" s="4" t="str">
        <f t="shared" si="5"/>
        <v>Jacket</v>
      </c>
      <c r="W20" s="4" t="str">
        <f t="shared" si="6"/>
        <v>MARKETPLACE</v>
      </c>
      <c r="X20" s="4" t="str">
        <f t="shared" si="7"/>
        <v>marketplace</v>
      </c>
      <c r="Y20" s="4" t="str">
        <f t="shared" si="8"/>
        <v>Marketplace</v>
      </c>
      <c r="Z20" s="4" t="str">
        <f t="shared" si="9"/>
        <v>Fashion Jacket</v>
      </c>
      <c r="AA20" s="4" t="str">
        <f t="shared" si="10"/>
        <v>BengaluruKarnatakaMarketplace</v>
      </c>
      <c r="AB20" s="4" t="str">
        <f t="shared" si="11"/>
        <v>Marketplace Net Banking</v>
      </c>
      <c r="AC20" s="4" t="str">
        <f t="shared" si="12"/>
        <v>Fashion Jacket</v>
      </c>
      <c r="AD20" s="4"/>
      <c r="AE20" s="4"/>
      <c r="AF20" s="4"/>
      <c r="AG20" s="4"/>
      <c r="AH20" s="6"/>
      <c r="AI20" s="4"/>
    </row>
    <row r="21" spans="1:35" x14ac:dyDescent="0.3">
      <c r="A21" s="4">
        <v>10020</v>
      </c>
      <c r="B21" s="4">
        <v>1130</v>
      </c>
      <c r="C21" s="5">
        <v>45194</v>
      </c>
      <c r="D21" s="5">
        <v>45203</v>
      </c>
      <c r="E21" s="4" t="s">
        <v>69</v>
      </c>
      <c r="F21" s="4" t="s">
        <v>60</v>
      </c>
      <c r="G21" s="4" t="s">
        <v>36</v>
      </c>
      <c r="H21" s="4" t="s">
        <v>37</v>
      </c>
      <c r="I21" s="4" t="s">
        <v>73</v>
      </c>
      <c r="J21" s="4" t="s">
        <v>75</v>
      </c>
      <c r="K21" s="4" t="s">
        <v>40</v>
      </c>
      <c r="L21" s="4">
        <v>2</v>
      </c>
      <c r="M21" s="4">
        <v>3959.31</v>
      </c>
      <c r="N21" s="4">
        <v>5</v>
      </c>
      <c r="O21" s="4">
        <v>7522.69</v>
      </c>
      <c r="P21" s="4" t="s">
        <v>41</v>
      </c>
      <c r="Q21" s="4" t="str">
        <f t="shared" si="0"/>
        <v>Cred</v>
      </c>
      <c r="R21" s="4" t="str">
        <f t="shared" si="1"/>
        <v>Cr</v>
      </c>
      <c r="S21" s="4" t="str">
        <f t="shared" si="2"/>
        <v>App</v>
      </c>
      <c r="T21" s="4" t="str">
        <f t="shared" si="3"/>
        <v>artwa</v>
      </c>
      <c r="U21" s="4">
        <f t="shared" si="4"/>
        <v>9</v>
      </c>
      <c r="V21" s="4" t="str">
        <f t="shared" si="5"/>
        <v>Smartwatch</v>
      </c>
      <c r="W21" s="4" t="str">
        <f t="shared" si="6"/>
        <v>MOBILE APP</v>
      </c>
      <c r="X21" s="4" t="str">
        <f t="shared" si="7"/>
        <v>mobile app</v>
      </c>
      <c r="Y21" s="4" t="str">
        <f t="shared" si="8"/>
        <v>Mobile App</v>
      </c>
      <c r="Z21" s="4" t="str">
        <f t="shared" si="9"/>
        <v>Electronics Smartwatch</v>
      </c>
      <c r="AA21" s="4" t="str">
        <f t="shared" si="10"/>
        <v>MumbaiKarnatakaMobile App</v>
      </c>
      <c r="AB21" s="4" t="str">
        <f t="shared" si="11"/>
        <v>Mobile App Credit Card</v>
      </c>
      <c r="AC21" s="4" t="str">
        <f t="shared" si="12"/>
        <v>Electronics Smartwatch</v>
      </c>
      <c r="AD21" s="4"/>
      <c r="AE21" s="4"/>
      <c r="AF21" s="4"/>
      <c r="AG21" s="4"/>
      <c r="AH21" s="6"/>
      <c r="AI21" s="4"/>
    </row>
    <row r="22" spans="1:35" x14ac:dyDescent="0.3">
      <c r="A22" s="4">
        <v>10021</v>
      </c>
      <c r="B22" s="4">
        <v>1661</v>
      </c>
      <c r="C22" s="5">
        <v>45159</v>
      </c>
      <c r="D22" s="5">
        <v>45163</v>
      </c>
      <c r="E22" s="4" t="s">
        <v>69</v>
      </c>
      <c r="F22" s="4" t="s">
        <v>50</v>
      </c>
      <c r="G22" s="4" t="s">
        <v>44</v>
      </c>
      <c r="H22" s="4" t="s">
        <v>37</v>
      </c>
      <c r="I22" s="4" t="s">
        <v>77</v>
      </c>
      <c r="J22" s="4" t="s">
        <v>81</v>
      </c>
      <c r="K22" s="4" t="s">
        <v>40</v>
      </c>
      <c r="L22" s="4">
        <v>3</v>
      </c>
      <c r="M22" s="4">
        <v>2361.58</v>
      </c>
      <c r="N22" s="4">
        <v>5</v>
      </c>
      <c r="O22" s="4">
        <v>6730.5</v>
      </c>
      <c r="P22" s="4" t="s">
        <v>41</v>
      </c>
      <c r="Q22" s="4" t="str">
        <f t="shared" si="0"/>
        <v>Cred</v>
      </c>
      <c r="R22" s="4" t="str">
        <f t="shared" si="1"/>
        <v>Cr</v>
      </c>
      <c r="S22" s="4" t="str">
        <f t="shared" si="2"/>
        <v>ite</v>
      </c>
      <c r="T22" s="4" t="str">
        <f t="shared" si="3"/>
        <v>pstic</v>
      </c>
      <c r="U22" s="4">
        <f t="shared" si="4"/>
        <v>11</v>
      </c>
      <c r="V22" s="4" t="str">
        <f t="shared" si="5"/>
        <v>Lipstick</v>
      </c>
      <c r="W22" s="4" t="str">
        <f t="shared" si="6"/>
        <v>WEBSITE</v>
      </c>
      <c r="X22" s="4" t="str">
        <f t="shared" si="7"/>
        <v>website</v>
      </c>
      <c r="Y22" s="4" t="str">
        <f t="shared" si="8"/>
        <v>Website</v>
      </c>
      <c r="Z22" s="4" t="str">
        <f t="shared" si="9"/>
        <v>Beauty Lipstick</v>
      </c>
      <c r="AA22" s="4" t="str">
        <f t="shared" si="10"/>
        <v>MumbaiWest BengalWebsite</v>
      </c>
      <c r="AB22" s="4" t="str">
        <f t="shared" si="11"/>
        <v>Website Credit Card</v>
      </c>
      <c r="AC22" s="4" t="str">
        <f t="shared" si="12"/>
        <v>Beauty Lipstick</v>
      </c>
      <c r="AD22" s="4"/>
      <c r="AE22" s="4"/>
      <c r="AF22" s="4"/>
      <c r="AG22" s="4"/>
      <c r="AH22" s="6"/>
      <c r="AI22" s="4"/>
    </row>
    <row r="23" spans="1:35" x14ac:dyDescent="0.3">
      <c r="A23" s="4">
        <v>10022</v>
      </c>
      <c r="B23" s="4">
        <v>1308</v>
      </c>
      <c r="C23" s="5">
        <v>44944</v>
      </c>
      <c r="D23" s="5">
        <v>44951</v>
      </c>
      <c r="E23" s="4" t="s">
        <v>59</v>
      </c>
      <c r="F23" s="4" t="s">
        <v>43</v>
      </c>
      <c r="G23" s="4" t="s">
        <v>51</v>
      </c>
      <c r="H23" s="4" t="s">
        <v>57</v>
      </c>
      <c r="I23" s="4" t="s">
        <v>82</v>
      </c>
      <c r="J23" s="4" t="s">
        <v>83</v>
      </c>
      <c r="K23" s="4" t="s">
        <v>54</v>
      </c>
      <c r="L23" s="4">
        <v>7</v>
      </c>
      <c r="M23" s="4">
        <v>680.86</v>
      </c>
      <c r="N23" s="4">
        <v>20</v>
      </c>
      <c r="O23" s="4">
        <v>3812.82</v>
      </c>
      <c r="P23" s="4" t="s">
        <v>55</v>
      </c>
      <c r="Q23" s="4" t="str">
        <f t="shared" si="0"/>
        <v>Cash</v>
      </c>
      <c r="R23" s="4" t="str">
        <f t="shared" si="1"/>
        <v>Ca</v>
      </c>
      <c r="S23" s="4" t="str">
        <f t="shared" si="2"/>
        <v>ace</v>
      </c>
      <c r="T23" s="4" t="str">
        <f t="shared" si="3"/>
        <v>ction</v>
      </c>
      <c r="U23" s="4">
        <f t="shared" si="4"/>
        <v>10</v>
      </c>
      <c r="V23" s="4" t="str">
        <f t="shared" si="5"/>
        <v>Fiction Novel</v>
      </c>
      <c r="W23" s="4" t="str">
        <f t="shared" si="6"/>
        <v>MARKETPLACE</v>
      </c>
      <c r="X23" s="4" t="str">
        <f t="shared" si="7"/>
        <v>marketplace</v>
      </c>
      <c r="Y23" s="4" t="str">
        <f t="shared" si="8"/>
        <v>Marketplace</v>
      </c>
      <c r="Z23" s="4" t="str">
        <f t="shared" si="9"/>
        <v>Books Fiction Novel</v>
      </c>
      <c r="AA23" s="4" t="str">
        <f t="shared" si="10"/>
        <v>KolkataTamil NaduMarketplace</v>
      </c>
      <c r="AB23" s="4" t="str">
        <f t="shared" si="11"/>
        <v>Marketplace Cash on Delivery</v>
      </c>
      <c r="AC23" s="4" t="str">
        <f t="shared" si="12"/>
        <v>Books Fiction Novel</v>
      </c>
      <c r="AD23" s="4"/>
      <c r="AE23" s="4"/>
      <c r="AF23" s="4"/>
      <c r="AG23" s="4"/>
      <c r="AH23" s="6"/>
      <c r="AI23" s="4"/>
    </row>
    <row r="24" spans="1:35" x14ac:dyDescent="0.3">
      <c r="A24" s="4">
        <v>10023</v>
      </c>
      <c r="B24" s="4">
        <v>1769</v>
      </c>
      <c r="C24" s="5">
        <v>45075</v>
      </c>
      <c r="D24" s="5">
        <v>45084</v>
      </c>
      <c r="E24" s="4" t="s">
        <v>35</v>
      </c>
      <c r="F24" s="4" t="s">
        <v>43</v>
      </c>
      <c r="G24" s="4" t="s">
        <v>36</v>
      </c>
      <c r="H24" s="4" t="s">
        <v>64</v>
      </c>
      <c r="I24" s="4" t="s">
        <v>52</v>
      </c>
      <c r="J24" s="4" t="s">
        <v>53</v>
      </c>
      <c r="K24" s="4" t="s">
        <v>67</v>
      </c>
      <c r="L24" s="4">
        <v>2</v>
      </c>
      <c r="M24" s="4">
        <v>2801.74</v>
      </c>
      <c r="N24" s="4">
        <v>20</v>
      </c>
      <c r="O24" s="4">
        <v>4482.78</v>
      </c>
      <c r="P24" s="4" t="s">
        <v>68</v>
      </c>
      <c r="Q24" s="4" t="str">
        <f t="shared" si="0"/>
        <v xml:space="preserve">Net </v>
      </c>
      <c r="R24" s="4" t="str">
        <f t="shared" si="1"/>
        <v>Ne</v>
      </c>
      <c r="S24" s="4" t="str">
        <f t="shared" si="2"/>
        <v>App</v>
      </c>
      <c r="T24" s="4" t="str">
        <f t="shared" si="3"/>
        <v>eaker</v>
      </c>
      <c r="U24" s="4">
        <f t="shared" si="4"/>
        <v>10</v>
      </c>
      <c r="V24" s="4" t="str">
        <f t="shared" si="5"/>
        <v>Sneakers</v>
      </c>
      <c r="W24" s="4" t="str">
        <f t="shared" si="6"/>
        <v>MOBILE APP</v>
      </c>
      <c r="X24" s="4" t="str">
        <f t="shared" si="7"/>
        <v>mobile app</v>
      </c>
      <c r="Y24" s="4" t="str">
        <f t="shared" si="8"/>
        <v>Mobile App</v>
      </c>
      <c r="Z24" s="4" t="str">
        <f t="shared" si="9"/>
        <v>Fashion Sneakers</v>
      </c>
      <c r="AA24" s="4" t="str">
        <f t="shared" si="10"/>
        <v>DelhiTamil NaduMobile App</v>
      </c>
      <c r="AB24" s="4" t="str">
        <f t="shared" si="11"/>
        <v>Mobile App Net Banking</v>
      </c>
      <c r="AC24" s="4" t="str">
        <f t="shared" si="12"/>
        <v>Fashion Sneakers</v>
      </c>
      <c r="AD24" s="4"/>
      <c r="AE24" s="4"/>
      <c r="AF24" s="4"/>
      <c r="AG24" s="4"/>
      <c r="AH24" s="6"/>
      <c r="AI24" s="4"/>
    </row>
    <row r="25" spans="1:35" x14ac:dyDescent="0.3">
      <c r="A25" s="4">
        <v>10024</v>
      </c>
      <c r="B25" s="4">
        <v>1343</v>
      </c>
      <c r="C25" s="5">
        <v>45075</v>
      </c>
      <c r="D25" s="5">
        <v>45082</v>
      </c>
      <c r="E25" s="4" t="s">
        <v>42</v>
      </c>
      <c r="F25" s="4" t="s">
        <v>63</v>
      </c>
      <c r="G25" s="4" t="s">
        <v>36</v>
      </c>
      <c r="H25" s="4" t="s">
        <v>66</v>
      </c>
      <c r="I25" s="4" t="s">
        <v>73</v>
      </c>
      <c r="J25" s="4" t="s">
        <v>75</v>
      </c>
      <c r="K25" s="4" t="s">
        <v>67</v>
      </c>
      <c r="L25" s="4">
        <v>1</v>
      </c>
      <c r="M25" s="4">
        <v>3606.31</v>
      </c>
      <c r="N25" s="4">
        <v>0</v>
      </c>
      <c r="O25" s="4">
        <v>3606.31</v>
      </c>
      <c r="P25" s="4" t="s">
        <v>68</v>
      </c>
      <c r="Q25" s="4" t="str">
        <f t="shared" si="0"/>
        <v>UPI</v>
      </c>
      <c r="R25" s="4" t="str">
        <f t="shared" si="1"/>
        <v>UP</v>
      </c>
      <c r="S25" s="4" t="str">
        <f t="shared" si="2"/>
        <v>App</v>
      </c>
      <c r="T25" s="4" t="str">
        <f t="shared" si="3"/>
        <v>artwa</v>
      </c>
      <c r="U25" s="4">
        <f t="shared" si="4"/>
        <v>9</v>
      </c>
      <c r="V25" s="4" t="str">
        <f t="shared" si="5"/>
        <v>Smartwatch</v>
      </c>
      <c r="W25" s="4" t="str">
        <f t="shared" si="6"/>
        <v>MOBILE APP</v>
      </c>
      <c r="X25" s="4" t="str">
        <f t="shared" si="7"/>
        <v>mobile app</v>
      </c>
      <c r="Y25" s="4" t="str">
        <f t="shared" si="8"/>
        <v>Mobile App</v>
      </c>
      <c r="Z25" s="4" t="str">
        <f t="shared" si="9"/>
        <v>Electronics Smartwatch</v>
      </c>
      <c r="AA25" s="4" t="str">
        <f t="shared" si="10"/>
        <v>PuneTelanganaMobile App</v>
      </c>
      <c r="AB25" s="4" t="str">
        <f t="shared" si="11"/>
        <v>Mobile App UPI</v>
      </c>
      <c r="AC25" s="4" t="str">
        <f t="shared" si="12"/>
        <v>Electronics Smartwatch</v>
      </c>
      <c r="AD25" s="4"/>
      <c r="AE25" s="4"/>
      <c r="AF25" s="4"/>
      <c r="AG25" s="4"/>
      <c r="AH25" s="6"/>
      <c r="AI25" s="4"/>
    </row>
    <row r="26" spans="1:35" x14ac:dyDescent="0.3">
      <c r="A26" s="4">
        <v>10025</v>
      </c>
      <c r="B26" s="4">
        <v>1491</v>
      </c>
      <c r="C26" s="5">
        <v>45052</v>
      </c>
      <c r="D26" s="5">
        <v>45061</v>
      </c>
      <c r="E26" s="4" t="s">
        <v>59</v>
      </c>
      <c r="F26" s="4" t="s">
        <v>60</v>
      </c>
      <c r="G26" s="4" t="s">
        <v>51</v>
      </c>
      <c r="H26" s="4" t="s">
        <v>66</v>
      </c>
      <c r="I26" s="4" t="s">
        <v>82</v>
      </c>
      <c r="J26" s="4" t="s">
        <v>84</v>
      </c>
      <c r="K26" s="4" t="s">
        <v>67</v>
      </c>
      <c r="L26" s="4">
        <v>6</v>
      </c>
      <c r="M26" s="4">
        <v>3018.94</v>
      </c>
      <c r="N26" s="4">
        <v>5</v>
      </c>
      <c r="O26" s="4">
        <v>17207.96</v>
      </c>
      <c r="P26" s="4" t="s">
        <v>68</v>
      </c>
      <c r="Q26" s="4" t="str">
        <f t="shared" si="0"/>
        <v>UPI</v>
      </c>
      <c r="R26" s="4" t="str">
        <f t="shared" si="1"/>
        <v>UP</v>
      </c>
      <c r="S26" s="4" t="str">
        <f t="shared" si="2"/>
        <v>ace</v>
      </c>
      <c r="T26" s="4" t="str">
        <f t="shared" si="3"/>
        <v>mics</v>
      </c>
      <c r="U26" s="4">
        <f t="shared" si="4"/>
        <v>9</v>
      </c>
      <c r="V26" s="4" t="str">
        <f t="shared" si="5"/>
        <v>Comics</v>
      </c>
      <c r="W26" s="4" t="str">
        <f t="shared" si="6"/>
        <v>MARKETPLACE</v>
      </c>
      <c r="X26" s="4" t="str">
        <f t="shared" si="7"/>
        <v>marketplace</v>
      </c>
      <c r="Y26" s="4" t="str">
        <f t="shared" si="8"/>
        <v>Marketplace</v>
      </c>
      <c r="Z26" s="4" t="str">
        <f t="shared" si="9"/>
        <v>Books Comics</v>
      </c>
      <c r="AA26" s="4" t="str">
        <f t="shared" si="10"/>
        <v>KolkataKarnatakaMarketplace</v>
      </c>
      <c r="AB26" s="4" t="str">
        <f t="shared" si="11"/>
        <v>Marketplace UPI</v>
      </c>
      <c r="AC26" s="4" t="str">
        <f t="shared" si="12"/>
        <v>Books Comics</v>
      </c>
      <c r="AD26" s="4"/>
      <c r="AE26" s="4"/>
      <c r="AF26" s="4"/>
      <c r="AG26" s="4"/>
      <c r="AH26" s="6"/>
      <c r="AI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FlashFill &amp; Text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2026-10-19T18:14:58Z</dcterms:created>
  <dcterms:modified xsi:type="dcterms:W3CDTF">2026-10-19T18:17:24Z</dcterms:modified>
</cp:coreProperties>
</file>