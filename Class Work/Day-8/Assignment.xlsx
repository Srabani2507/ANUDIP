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UDIP\Class Work\"/>
    </mc:Choice>
  </mc:AlternateContent>
  <xr:revisionPtr revIDLastSave="0" documentId="13_ncr:1_{65AD3A04-9648-4BC2-B62C-AEAB4CE34FD0}" xr6:coauthVersionLast="47" xr6:coauthVersionMax="47" xr10:uidLastSave="{00000000-0000-0000-0000-000000000000}"/>
  <bookViews>
    <workbookView xWindow="-108" yWindow="-108" windowWidth="23256" windowHeight="12456" xr2:uid="{7BB9F799-7084-4E5C-9C77-740B132A95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 a="1"/>
  <c r="Q4" i="1" a="1"/>
  <c r="Q5" i="1" a="1"/>
  <c r="Q6" i="1" a="1"/>
  <c r="Q7" i="1" a="1"/>
  <c r="Q8" i="1" a="1"/>
  <c r="Q9" i="1" a="1"/>
  <c r="Q10" i="1" a="1"/>
  <c r="Q11" i="1" a="1"/>
  <c r="Q2" i="1" a="1"/>
  <c r="N3" i="1"/>
  <c r="N4" i="1"/>
  <c r="N5" i="1"/>
  <c r="N6" i="1"/>
  <c r="N7" i="1"/>
  <c r="N8" i="1"/>
  <c r="N9" i="1"/>
  <c r="N10" i="1"/>
  <c r="N11" i="1"/>
  <c r="N2" i="1"/>
  <c r="M3" i="1"/>
  <c r="M4" i="1"/>
  <c r="M5" i="1"/>
  <c r="M6" i="1"/>
  <c r="M7" i="1"/>
  <c r="M8" i="1"/>
  <c r="M9" i="1"/>
  <c r="M10" i="1"/>
  <c r="M11" i="1"/>
  <c r="M2" i="1"/>
  <c r="L3" i="1"/>
  <c r="L4" i="1"/>
  <c r="L5" i="1"/>
  <c r="L6" i="1"/>
  <c r="L7" i="1"/>
  <c r="L8" i="1"/>
  <c r="L9" i="1"/>
  <c r="L10" i="1"/>
  <c r="L11" i="1"/>
  <c r="L2" i="1"/>
  <c r="P3" i="1"/>
  <c r="P4" i="1"/>
  <c r="P5" i="1"/>
  <c r="P6" i="1"/>
  <c r="P7" i="1"/>
  <c r="P8" i="1"/>
  <c r="P9" i="1"/>
  <c r="P10" i="1"/>
  <c r="P11" i="1"/>
  <c r="P2" i="1"/>
  <c r="O3" i="1"/>
  <c r="O4" i="1"/>
  <c r="O5" i="1"/>
  <c r="O6" i="1"/>
  <c r="O7" i="1"/>
  <c r="O8" i="1"/>
  <c r="O9" i="1"/>
  <c r="O10" i="1"/>
  <c r="O11" i="1"/>
  <c r="O2" i="1"/>
  <c r="K3" i="1"/>
  <c r="K4" i="1"/>
  <c r="K5" i="1"/>
  <c r="K6" i="1"/>
  <c r="K7" i="1"/>
  <c r="K8" i="1"/>
  <c r="K9" i="1"/>
  <c r="K10" i="1"/>
  <c r="K11" i="1"/>
  <c r="K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<sst xmlns="http://schemas.openxmlformats.org/spreadsheetml/2006/main" count="107" uniqueCount="97">
  <si>
    <t>Emp_ID</t>
  </si>
  <si>
    <t>Full_Name</t>
  </si>
  <si>
    <t>Email</t>
  </si>
  <si>
    <t>Phone</t>
  </si>
  <si>
    <t>Department</t>
  </si>
  <si>
    <t>Employee_Code</t>
  </si>
  <si>
    <t>Location</t>
  </si>
  <si>
    <t>Salary</t>
  </si>
  <si>
    <t>E001</t>
  </si>
  <si>
    <t>Rahul Sharma</t>
  </si>
  <si>
    <t>rahul.sharma@gmail.com</t>
  </si>
  <si>
    <t>Sales</t>
  </si>
  <si>
    <t>SAL-001-KOL</t>
  </si>
  <si>
    <t>Kolkata</t>
  </si>
  <si>
    <t>E002</t>
  </si>
  <si>
    <t>Priya Sen</t>
  </si>
  <si>
    <t>priya.sen@yahoo.com</t>
  </si>
  <si>
    <t>HR</t>
  </si>
  <si>
    <t>HR-002-DEL</t>
  </si>
  <si>
    <t>Delhi</t>
  </si>
  <si>
    <t>E003</t>
  </si>
  <si>
    <t>Amit Roy</t>
  </si>
  <si>
    <t>amit.roy@gmail.com</t>
  </si>
  <si>
    <t>Finance</t>
  </si>
  <si>
    <t>FIN-003-MUM</t>
  </si>
  <si>
    <t>Mumbai</t>
  </si>
  <si>
    <t>E004</t>
  </si>
  <si>
    <t>Sneha Das</t>
  </si>
  <si>
    <t>sneha.das@outlook.com</t>
  </si>
  <si>
    <t>IT</t>
  </si>
  <si>
    <t>IT-004-BLR</t>
  </si>
  <si>
    <t>Bangalore</t>
  </si>
  <si>
    <t>E005</t>
  </si>
  <si>
    <t>Arjun Mehta</t>
  </si>
  <si>
    <t>arjun.mehta@gmail.com</t>
  </si>
  <si>
    <t>Marketing</t>
  </si>
  <si>
    <t>MKT-005-PUN</t>
  </si>
  <si>
    <t>Pune</t>
  </si>
  <si>
    <t>E006</t>
  </si>
  <si>
    <t>Neha Gupta</t>
  </si>
  <si>
    <t>neha.gupta@yahoo.com</t>
  </si>
  <si>
    <t>SAL-006-DEL</t>
  </si>
  <si>
    <t>E007</t>
  </si>
  <si>
    <t>Rohan Paul</t>
  </si>
  <si>
    <t>rohan.paul@gmail.com</t>
  </si>
  <si>
    <t>IT-007-KOL</t>
  </si>
  <si>
    <t>E008</t>
  </si>
  <si>
    <t>Ananya Bose</t>
  </si>
  <si>
    <t>ananya.bose@gmail.com</t>
  </si>
  <si>
    <t>FIN-008-CHN</t>
  </si>
  <si>
    <t>Chennai</t>
  </si>
  <si>
    <t>E009</t>
  </si>
  <si>
    <t>Karan Singh</t>
  </si>
  <si>
    <t>karan.singh@yahoo.com</t>
  </si>
  <si>
    <t>HR-009-MUM</t>
  </si>
  <si>
    <t>E010</t>
  </si>
  <si>
    <t>Pooja Das</t>
  </si>
  <si>
    <t>pooja.das@gmail.com</t>
  </si>
  <si>
    <t>MKT-010-KOL</t>
  </si>
  <si>
    <t>1. Extract the First name from Full Name.</t>
  </si>
  <si>
    <t>2. Extract the Last name from Full Name.</t>
  </si>
  <si>
    <t>3. Extract last 4 digits of the Phone No.</t>
  </si>
  <si>
    <t>4. Extract first 3 chars from the Emp Code.</t>
  </si>
  <si>
    <t>5. Extract Employee no. from Emp Code.</t>
  </si>
  <si>
    <t>6. Extract City Code .</t>
  </si>
  <si>
    <t>7. Count the characters of Employee Name.</t>
  </si>
  <si>
    <t>8. Convert Names into Uppercase.</t>
  </si>
  <si>
    <t>9. Create first name &amp; last name column.</t>
  </si>
  <si>
    <t>First Name</t>
  </si>
  <si>
    <t>Rahul</t>
  </si>
  <si>
    <t>Priya</t>
  </si>
  <si>
    <t>Amit</t>
  </si>
  <si>
    <t>Sneha</t>
  </si>
  <si>
    <t>Arjun</t>
  </si>
  <si>
    <t>Neha</t>
  </si>
  <si>
    <t>Rohan</t>
  </si>
  <si>
    <t>Ananya</t>
  </si>
  <si>
    <t>Karan</t>
  </si>
  <si>
    <t>Pooja</t>
  </si>
  <si>
    <t>Last Name</t>
  </si>
  <si>
    <t>Sharma</t>
  </si>
  <si>
    <t>Sen</t>
  </si>
  <si>
    <t>Roy</t>
  </si>
  <si>
    <t>Das</t>
  </si>
  <si>
    <t>Mehta</t>
  </si>
  <si>
    <t>Gupta</t>
  </si>
  <si>
    <t>Paul</t>
  </si>
  <si>
    <t>Bose</t>
  </si>
  <si>
    <t>Singh</t>
  </si>
  <si>
    <t>Last 4 Digits of Ph No</t>
  </si>
  <si>
    <t>First 3 Char of Emp Code</t>
  </si>
  <si>
    <t>Employee No</t>
  </si>
  <si>
    <t>City Code</t>
  </si>
  <si>
    <t>Count Char of EMP Name</t>
  </si>
  <si>
    <t>Emp Name in Uppercase</t>
  </si>
  <si>
    <t>FirstName</t>
  </si>
  <si>
    <t>LastName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</si>
</sst>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7C8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1" xfId="0" applyBorder="1" applyAlignment="1">
      <alignment vertical="center"/>
    </xf>
    <xf numFmtId="0" fontId="2" fillId="0" borderId="1" xfId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0" fillId="3" borderId="0" xfId="0" applyFill="1"/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4" borderId="0" xfId="0" applyFill="1"/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5" borderId="0" xfId="0" applyFill="1"/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0" fillId="6" borderId="0" xfId="0" applyFill="1"/>
    <xf numFmtId="0" fontId="1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7" borderId="0" xfId="0" applyFill="1"/>
    <xf numFmtId="0" fontId="1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0" fillId="8" borderId="0" xfId="0" applyFill="1"/>
    <xf numFmtId="0" fontId="1" fillId="8" borderId="1" xfId="0" applyFont="1" applyFill="1" applyBorder="1" applyAlignment="1">
      <alignment horizontal="center" vertical="center"/>
    </xf>
    <xf numFmtId="0" fontId="0" fillId="8" borderId="1" xfId="0" applyFill="1" applyBorder="1"/>
    <xf numFmtId="0" fontId="1" fillId="9" borderId="1" xfId="0" applyFont="1" applyFill="1" applyBorder="1" applyAlignment="1">
      <alignment horizontal="center" vertical="center"/>
    </xf>
    <xf numFmtId="0" fontId="0" fillId="9" borderId="1" xfId="0" applyFill="1" applyBorder="1"/>
    <xf numFmtId="0" fontId="0" fillId="9" borderId="0" xfId="0" applyFill="1"/>
    <xf numFmtId="0" fontId="1" fillId="10" borderId="1" xfId="0" applyFont="1" applyFill="1" applyBorder="1" applyAlignment="1">
      <alignment horizontal="center" vertical="center"/>
    </xf>
    <xf numFmtId="0" fontId="0" fillId="10" borderId="1" xfId="0" applyFill="1" applyBorder="1"/>
    <xf numFmtId="0" fontId="0" fillId="10" borderId="0" xfId="0" applyFill="1"/>
    <xf numFmtId="0" fontId="0" fillId="11" borderId="0" xfId="0" applyFill="1"/>
    <xf numFmtId="0" fontId="1" fillId="11" borderId="1" xfId="0" applyFont="1" applyFill="1" applyBorder="1" applyAlignment="1">
      <alignment horizontal="center" vertical="center"/>
    </xf>
    <xf numFmtId="0" fontId="0" fillId="11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nanya.bose@gmail.com" TargetMode="External"/><Relationship Id="rId3" Type="http://schemas.openxmlformats.org/officeDocument/2006/relationships/hyperlink" Target="mailto:amit.roy@gmail.com" TargetMode="External"/><Relationship Id="rId7" Type="http://schemas.openxmlformats.org/officeDocument/2006/relationships/hyperlink" Target="mailto:rohan.paul@gmail.com" TargetMode="External"/><Relationship Id="rId2" Type="http://schemas.openxmlformats.org/officeDocument/2006/relationships/hyperlink" Target="mailto:priya.sen@yahoo.com" TargetMode="External"/><Relationship Id="rId1" Type="http://schemas.openxmlformats.org/officeDocument/2006/relationships/hyperlink" Target="mailto:rahul.sharma@gmail.com" TargetMode="External"/><Relationship Id="rId6" Type="http://schemas.openxmlformats.org/officeDocument/2006/relationships/hyperlink" Target="mailto:neha.gupta@yahoo.com" TargetMode="External"/><Relationship Id="rId5" Type="http://schemas.openxmlformats.org/officeDocument/2006/relationships/hyperlink" Target="mailto:arjun.mehta@gmail.com" TargetMode="External"/><Relationship Id="rId10" Type="http://schemas.openxmlformats.org/officeDocument/2006/relationships/hyperlink" Target="mailto:pooja.das@gmail.com" TargetMode="External"/><Relationship Id="rId4" Type="http://schemas.openxmlformats.org/officeDocument/2006/relationships/hyperlink" Target="mailto:sneha.das@outlook.com" TargetMode="External"/><Relationship Id="rId9" Type="http://schemas.openxmlformats.org/officeDocument/2006/relationships/hyperlink" Target="mailto:karan.singh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2BCFF-CE04-45ED-B43F-26469FE6BADA}">
  <dimension ref="A1:R22"/>
  <sheetViews>
    <sheetView tabSelected="1" workbookViewId="0">
      <selection activeCell="K17" sqref="K17"/>
    </sheetView>
  </sheetViews>
  <sheetFormatPr defaultRowHeight="14.4" x14ac:dyDescent="0.3"/>
  <cols>
    <col min="1" max="1" width="7.21875" bestFit="1" customWidth="1"/>
    <col min="2" max="2" width="11.88671875" bestFit="1" customWidth="1"/>
    <col min="3" max="3" width="21.88671875" bestFit="1" customWidth="1"/>
    <col min="4" max="5" width="10.77734375" bestFit="1" customWidth="1"/>
    <col min="6" max="6" width="14.21875" bestFit="1" customWidth="1"/>
    <col min="9" max="9" width="10.109375" bestFit="1" customWidth="1"/>
    <col min="10" max="10" width="9.77734375" bestFit="1" customWidth="1"/>
    <col min="11" max="11" width="18.109375" bestFit="1" customWidth="1"/>
    <col min="12" max="12" width="21.33203125" bestFit="1" customWidth="1"/>
    <col min="13" max="13" width="11.88671875" bestFit="1" customWidth="1"/>
    <col min="15" max="15" width="21.5546875" bestFit="1" customWidth="1"/>
    <col min="16" max="16" width="21.6640625" bestFit="1" customWidth="1"/>
    <col min="17" max="17" width="9.77734375" bestFit="1" customWidth="1"/>
    <col min="18" max="18" width="9.44140625" bestFit="1" customWidth="1"/>
  </cols>
  <sheetData>
    <row r="1" spans="1:1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7" t="s">
        <v>68</v>
      </c>
      <c r="J1" s="10" t="s">
        <v>79</v>
      </c>
      <c r="K1" s="13" t="s">
        <v>89</v>
      </c>
      <c r="L1" s="16" t="s">
        <v>90</v>
      </c>
      <c r="M1" s="19" t="s">
        <v>91</v>
      </c>
      <c r="N1" s="22" t="s">
        <v>92</v>
      </c>
      <c r="O1" s="24" t="s">
        <v>93</v>
      </c>
      <c r="P1" s="27" t="s">
        <v>94</v>
      </c>
      <c r="Q1" s="31" t="s">
        <v>95</v>
      </c>
      <c r="R1" s="31" t="s">
        <v>96</v>
      </c>
    </row>
    <row r="2" spans="1:18" x14ac:dyDescent="0.3">
      <c r="A2" s="1" t="s">
        <v>8</v>
      </c>
      <c r="B2" s="1" t="s">
        <v>9</v>
      </c>
      <c r="C2" s="2" t="s">
        <v>10</v>
      </c>
      <c r="D2" s="1">
        <v>9876543210</v>
      </c>
      <c r="E2" s="1" t="s">
        <v>11</v>
      </c>
      <c r="F2" s="1" t="s">
        <v>12</v>
      </c>
      <c r="G2" s="1" t="s">
        <v>13</v>
      </c>
      <c r="H2" s="3">
        <v>35000</v>
      </c>
      <c r="I2" s="8" t="s">
        <v>69</v>
      </c>
      <c r="J2" s="11" t="s">
        <v>80</v>
      </c>
      <c r="K2" s="14" t="str">
        <f>RIGHT(D2,4)</f>
        <v>3210</v>
      </c>
      <c r="L2" s="17" t="str">
        <f>_xlfn.TEXTBEFORE(F2, "-")</f>
        <v>SAL</v>
      </c>
      <c r="M2" s="20" t="str">
        <f>_xlfn.TEXTBEFORE(_xlfn.TEXTAFTER(F2, "-"), "-")</f>
        <v>001</v>
      </c>
      <c r="N2" s="23" t="str">
        <f>_xlfn.TEXTAFTER(_xlfn.TEXTAFTER(F2, "-"), "-")</f>
        <v>KOL</v>
      </c>
      <c r="O2" s="25">
        <f>LEN(I2)</f>
        <v>5</v>
      </c>
      <c r="P2" s="28" t="str">
        <f>UPPER(B2)</f>
        <v>RAHUL SHARMA</v>
      </c>
      <c r="Q2" s="32" t="str" cm="1">
        <f t="array" ref="Q2:R2">_xlfn.TEXTSPLIT(B2, " ")</f>
        <v>Rahul</v>
      </c>
      <c r="R2" s="32" t="str">
        <v>Sharma</v>
      </c>
    </row>
    <row r="3" spans="1:18" x14ac:dyDescent="0.3">
      <c r="A3" s="1" t="s">
        <v>14</v>
      </c>
      <c r="B3" s="1" t="s">
        <v>15</v>
      </c>
      <c r="C3" s="2" t="s">
        <v>16</v>
      </c>
      <c r="D3" s="1">
        <v>9123456780</v>
      </c>
      <c r="E3" s="1" t="s">
        <v>17</v>
      </c>
      <c r="F3" s="1" t="s">
        <v>18</v>
      </c>
      <c r="G3" s="1" t="s">
        <v>19</v>
      </c>
      <c r="H3" s="3">
        <v>42000</v>
      </c>
      <c r="I3" s="8" t="s">
        <v>70</v>
      </c>
      <c r="J3" s="11" t="s">
        <v>81</v>
      </c>
      <c r="K3" s="14" t="str">
        <f t="shared" ref="K3:K11" si="0">RIGHT(D3,4)</f>
        <v>6780</v>
      </c>
      <c r="L3" s="17" t="str">
        <f t="shared" ref="L3:L11" si="1">_xlfn.TEXTBEFORE(F3, "-")</f>
        <v>HR</v>
      </c>
      <c r="M3" s="20" t="str">
        <f t="shared" ref="M3:M11" si="2">_xlfn.TEXTBEFORE(_xlfn.TEXTAFTER(F3, "-"), "-")</f>
        <v>002</v>
      </c>
      <c r="N3" s="23" t="str">
        <f t="shared" ref="N3:N11" si="3">_xlfn.TEXTAFTER(_xlfn.TEXTAFTER(F3, "-"), "-")</f>
        <v>DEL</v>
      </c>
      <c r="O3" s="25">
        <f t="shared" ref="O3:O11" si="4">LEN(I3)</f>
        <v>5</v>
      </c>
      <c r="P3" s="28" t="str">
        <f t="shared" ref="P3:P11" si="5">UPPER(B3)</f>
        <v>PRIYA SEN</v>
      </c>
      <c r="Q3" s="32" t="str" cm="1">
        <f t="array" ref="Q3:R3">_xlfn.TEXTSPLIT(B3, " ")</f>
        <v>Priya</v>
      </c>
      <c r="R3" s="32" t="str">
        <v>Sen</v>
      </c>
    </row>
    <row r="4" spans="1:18" x14ac:dyDescent="0.3">
      <c r="A4" s="1" t="s">
        <v>20</v>
      </c>
      <c r="B4" s="1" t="s">
        <v>21</v>
      </c>
      <c r="C4" s="2" t="s">
        <v>22</v>
      </c>
      <c r="D4" s="1">
        <v>9834567120</v>
      </c>
      <c r="E4" s="1" t="s">
        <v>23</v>
      </c>
      <c r="F4" s="1" t="s">
        <v>24</v>
      </c>
      <c r="G4" s="1" t="s">
        <v>25</v>
      </c>
      <c r="H4" s="3">
        <v>48000</v>
      </c>
      <c r="I4" s="8" t="s">
        <v>71</v>
      </c>
      <c r="J4" s="11" t="s">
        <v>82</v>
      </c>
      <c r="K4" s="14" t="str">
        <f t="shared" si="0"/>
        <v>7120</v>
      </c>
      <c r="L4" s="17" t="str">
        <f t="shared" si="1"/>
        <v>FIN</v>
      </c>
      <c r="M4" s="20" t="str">
        <f t="shared" si="2"/>
        <v>003</v>
      </c>
      <c r="N4" s="23" t="str">
        <f t="shared" si="3"/>
        <v>MUM</v>
      </c>
      <c r="O4" s="25">
        <f t="shared" si="4"/>
        <v>4</v>
      </c>
      <c r="P4" s="28" t="str">
        <f t="shared" si="5"/>
        <v>AMIT ROY</v>
      </c>
      <c r="Q4" s="32" t="str" cm="1">
        <f t="array" ref="Q4:R4">_xlfn.TEXTSPLIT(B4, " ")</f>
        <v>Amit</v>
      </c>
      <c r="R4" s="32" t="str">
        <v>Roy</v>
      </c>
    </row>
    <row r="5" spans="1:18" x14ac:dyDescent="0.3">
      <c r="A5" s="1" t="s">
        <v>26</v>
      </c>
      <c r="B5" s="1" t="s">
        <v>27</v>
      </c>
      <c r="C5" s="2" t="s">
        <v>28</v>
      </c>
      <c r="D5" s="1">
        <v>8765432190</v>
      </c>
      <c r="E5" s="1" t="s">
        <v>29</v>
      </c>
      <c r="F5" s="1" t="s">
        <v>30</v>
      </c>
      <c r="G5" s="1" t="s">
        <v>31</v>
      </c>
      <c r="H5" s="3">
        <v>55000</v>
      </c>
      <c r="I5" s="8" t="s">
        <v>72</v>
      </c>
      <c r="J5" s="11" t="s">
        <v>83</v>
      </c>
      <c r="K5" s="14" t="str">
        <f t="shared" si="0"/>
        <v>2190</v>
      </c>
      <c r="L5" s="17" t="str">
        <f t="shared" si="1"/>
        <v>IT</v>
      </c>
      <c r="M5" s="20" t="str">
        <f t="shared" si="2"/>
        <v>004</v>
      </c>
      <c r="N5" s="23" t="str">
        <f t="shared" si="3"/>
        <v>BLR</v>
      </c>
      <c r="O5" s="25">
        <f t="shared" si="4"/>
        <v>5</v>
      </c>
      <c r="P5" s="28" t="str">
        <f t="shared" si="5"/>
        <v>SNEHA DAS</v>
      </c>
      <c r="Q5" s="32" t="str" cm="1">
        <f t="array" ref="Q5:R5">_xlfn.TEXTSPLIT(B5, " ")</f>
        <v>Sneha</v>
      </c>
      <c r="R5" s="32" t="str">
        <v>Das</v>
      </c>
    </row>
    <row r="6" spans="1:18" x14ac:dyDescent="0.3">
      <c r="A6" s="1" t="s">
        <v>32</v>
      </c>
      <c r="B6" s="1" t="s">
        <v>33</v>
      </c>
      <c r="C6" s="2" t="s">
        <v>34</v>
      </c>
      <c r="D6" s="1">
        <v>9988776655</v>
      </c>
      <c r="E6" s="1" t="s">
        <v>35</v>
      </c>
      <c r="F6" s="1" t="s">
        <v>36</v>
      </c>
      <c r="G6" s="1" t="s">
        <v>37</v>
      </c>
      <c r="H6" s="3">
        <v>45000</v>
      </c>
      <c r="I6" s="8" t="s">
        <v>73</v>
      </c>
      <c r="J6" s="11" t="s">
        <v>84</v>
      </c>
      <c r="K6" s="14" t="str">
        <f t="shared" si="0"/>
        <v>6655</v>
      </c>
      <c r="L6" s="17" t="str">
        <f t="shared" si="1"/>
        <v>MKT</v>
      </c>
      <c r="M6" s="20" t="str">
        <f t="shared" si="2"/>
        <v>005</v>
      </c>
      <c r="N6" s="23" t="str">
        <f t="shared" si="3"/>
        <v>PUN</v>
      </c>
      <c r="O6" s="25">
        <f t="shared" si="4"/>
        <v>5</v>
      </c>
      <c r="P6" s="28" t="str">
        <f t="shared" si="5"/>
        <v>ARJUN MEHTA</v>
      </c>
      <c r="Q6" s="32" t="str" cm="1">
        <f t="array" ref="Q6:R6">_xlfn.TEXTSPLIT(B6, " ")</f>
        <v>Arjun</v>
      </c>
      <c r="R6" s="32" t="str">
        <v>Mehta</v>
      </c>
    </row>
    <row r="7" spans="1:18" x14ac:dyDescent="0.3">
      <c r="A7" s="1" t="s">
        <v>38</v>
      </c>
      <c r="B7" s="1" t="s">
        <v>39</v>
      </c>
      <c r="C7" s="2" t="s">
        <v>40</v>
      </c>
      <c r="D7" s="1">
        <v>9090901234</v>
      </c>
      <c r="E7" s="1" t="s">
        <v>11</v>
      </c>
      <c r="F7" s="1" t="s">
        <v>41</v>
      </c>
      <c r="G7" s="1" t="s">
        <v>19</v>
      </c>
      <c r="H7" s="3">
        <v>38000</v>
      </c>
      <c r="I7" s="8" t="s">
        <v>74</v>
      </c>
      <c r="J7" s="11" t="s">
        <v>85</v>
      </c>
      <c r="K7" s="14" t="str">
        <f t="shared" si="0"/>
        <v>1234</v>
      </c>
      <c r="L7" s="17" t="str">
        <f t="shared" si="1"/>
        <v>SAL</v>
      </c>
      <c r="M7" s="20" t="str">
        <f t="shared" si="2"/>
        <v>006</v>
      </c>
      <c r="N7" s="23" t="str">
        <f t="shared" si="3"/>
        <v>DEL</v>
      </c>
      <c r="O7" s="25">
        <f t="shared" si="4"/>
        <v>4</v>
      </c>
      <c r="P7" s="28" t="str">
        <f t="shared" si="5"/>
        <v>NEHA GUPTA</v>
      </c>
      <c r="Q7" s="32" t="str" cm="1">
        <f t="array" ref="Q7:R7">_xlfn.TEXTSPLIT(B7, " ")</f>
        <v>Neha</v>
      </c>
      <c r="R7" s="32" t="str">
        <v>Gupta</v>
      </c>
    </row>
    <row r="8" spans="1:18" x14ac:dyDescent="0.3">
      <c r="A8" s="1" t="s">
        <v>42</v>
      </c>
      <c r="B8" s="1" t="s">
        <v>43</v>
      </c>
      <c r="C8" s="2" t="s">
        <v>44</v>
      </c>
      <c r="D8" s="1">
        <v>9876123456</v>
      </c>
      <c r="E8" s="1" t="s">
        <v>29</v>
      </c>
      <c r="F8" s="1" t="s">
        <v>45</v>
      </c>
      <c r="G8" s="1" t="s">
        <v>13</v>
      </c>
      <c r="H8" s="3">
        <v>60000</v>
      </c>
      <c r="I8" s="8" t="s">
        <v>75</v>
      </c>
      <c r="J8" s="11" t="s">
        <v>86</v>
      </c>
      <c r="K8" s="14" t="str">
        <f t="shared" si="0"/>
        <v>3456</v>
      </c>
      <c r="L8" s="17" t="str">
        <f t="shared" si="1"/>
        <v>IT</v>
      </c>
      <c r="M8" s="20" t="str">
        <f t="shared" si="2"/>
        <v>007</v>
      </c>
      <c r="N8" s="23" t="str">
        <f t="shared" si="3"/>
        <v>KOL</v>
      </c>
      <c r="O8" s="25">
        <f t="shared" si="4"/>
        <v>5</v>
      </c>
      <c r="P8" s="28" t="str">
        <f t="shared" si="5"/>
        <v>ROHAN PAUL</v>
      </c>
      <c r="Q8" s="32" t="str" cm="1">
        <f t="array" ref="Q8:R8">_xlfn.TEXTSPLIT(B8, " ")</f>
        <v>Rohan</v>
      </c>
      <c r="R8" s="32" t="str">
        <v>Paul</v>
      </c>
    </row>
    <row r="9" spans="1:18" x14ac:dyDescent="0.3">
      <c r="A9" s="1" t="s">
        <v>46</v>
      </c>
      <c r="B9" s="1" t="s">
        <v>47</v>
      </c>
      <c r="C9" s="2" t="s">
        <v>48</v>
      </c>
      <c r="D9" s="1">
        <v>8899776655</v>
      </c>
      <c r="E9" s="1" t="s">
        <v>23</v>
      </c>
      <c r="F9" s="1" t="s">
        <v>49</v>
      </c>
      <c r="G9" s="1" t="s">
        <v>50</v>
      </c>
      <c r="H9" s="3">
        <v>52000</v>
      </c>
      <c r="I9" s="8" t="s">
        <v>76</v>
      </c>
      <c r="J9" s="11" t="s">
        <v>87</v>
      </c>
      <c r="K9" s="14" t="str">
        <f t="shared" si="0"/>
        <v>6655</v>
      </c>
      <c r="L9" s="17" t="str">
        <f t="shared" si="1"/>
        <v>FIN</v>
      </c>
      <c r="M9" s="20" t="str">
        <f t="shared" si="2"/>
        <v>008</v>
      </c>
      <c r="N9" s="23" t="str">
        <f t="shared" si="3"/>
        <v>CHN</v>
      </c>
      <c r="O9" s="25">
        <f t="shared" si="4"/>
        <v>6</v>
      </c>
      <c r="P9" s="28" t="str">
        <f t="shared" si="5"/>
        <v>ANANYA BOSE</v>
      </c>
      <c r="Q9" s="32" t="str" cm="1">
        <f t="array" ref="Q9:R9">_xlfn.TEXTSPLIT(B9, " ")</f>
        <v>Ananya</v>
      </c>
      <c r="R9" s="32" t="str">
        <v>Bose</v>
      </c>
    </row>
    <row r="10" spans="1:18" x14ac:dyDescent="0.3">
      <c r="A10" s="1" t="s">
        <v>51</v>
      </c>
      <c r="B10" s="1" t="s">
        <v>52</v>
      </c>
      <c r="C10" s="2" t="s">
        <v>53</v>
      </c>
      <c r="D10" s="1">
        <v>9123456789</v>
      </c>
      <c r="E10" s="1" t="s">
        <v>17</v>
      </c>
      <c r="F10" s="1" t="s">
        <v>54</v>
      </c>
      <c r="G10" s="1" t="s">
        <v>25</v>
      </c>
      <c r="H10" s="3">
        <v>41000</v>
      </c>
      <c r="I10" s="8" t="s">
        <v>77</v>
      </c>
      <c r="J10" s="11" t="s">
        <v>88</v>
      </c>
      <c r="K10" s="14" t="str">
        <f t="shared" si="0"/>
        <v>6789</v>
      </c>
      <c r="L10" s="17" t="str">
        <f t="shared" si="1"/>
        <v>HR</v>
      </c>
      <c r="M10" s="20" t="str">
        <f t="shared" si="2"/>
        <v>009</v>
      </c>
      <c r="N10" s="23" t="str">
        <f t="shared" si="3"/>
        <v>MUM</v>
      </c>
      <c r="O10" s="25">
        <f t="shared" si="4"/>
        <v>5</v>
      </c>
      <c r="P10" s="28" t="str">
        <f t="shared" si="5"/>
        <v>KARAN SINGH</v>
      </c>
      <c r="Q10" s="32" t="str" cm="1">
        <f t="array" ref="Q10:R10">_xlfn.TEXTSPLIT(B10, " ")</f>
        <v>Karan</v>
      </c>
      <c r="R10" s="32" t="str">
        <v>Singh</v>
      </c>
    </row>
    <row r="11" spans="1:18" x14ac:dyDescent="0.3">
      <c r="A11" s="1" t="s">
        <v>55</v>
      </c>
      <c r="B11" s="1" t="s">
        <v>56</v>
      </c>
      <c r="C11" s="2" t="s">
        <v>57</v>
      </c>
      <c r="D11" s="1">
        <v>7987654321</v>
      </c>
      <c r="E11" s="1" t="s">
        <v>35</v>
      </c>
      <c r="F11" s="1" t="s">
        <v>58</v>
      </c>
      <c r="G11" s="1" t="s">
        <v>13</v>
      </c>
      <c r="H11" s="3">
        <v>47000</v>
      </c>
      <c r="I11" s="8" t="s">
        <v>78</v>
      </c>
      <c r="J11" s="11" t="s">
        <v>83</v>
      </c>
      <c r="K11" s="14" t="str">
        <f t="shared" si="0"/>
        <v>4321</v>
      </c>
      <c r="L11" s="17" t="str">
        <f t="shared" si="1"/>
        <v>MKT</v>
      </c>
      <c r="M11" s="20" t="str">
        <f t="shared" si="2"/>
        <v>010</v>
      </c>
      <c r="N11" s="23" t="str">
        <f t="shared" si="3"/>
        <v>KOL</v>
      </c>
      <c r="O11" s="25">
        <f t="shared" si="4"/>
        <v>5</v>
      </c>
      <c r="P11" s="28" t="str">
        <f t="shared" si="5"/>
        <v>POOJA DAS</v>
      </c>
      <c r="Q11" s="32" t="str" cm="1">
        <f t="array" ref="Q11:R11">_xlfn.TEXTSPLIT(B11, " ")</f>
        <v>Pooja</v>
      </c>
      <c r="R11" s="32" t="str">
        <v>Das</v>
      </c>
    </row>
    <row r="14" spans="1:18" x14ac:dyDescent="0.3">
      <c r="A14" s="6" t="s">
        <v>59</v>
      </c>
      <c r="B14" s="6"/>
      <c r="C14" s="6"/>
    </row>
    <row r="15" spans="1:18" x14ac:dyDescent="0.3">
      <c r="A15" s="9" t="s">
        <v>60</v>
      </c>
      <c r="B15" s="9"/>
      <c r="C15" s="9"/>
    </row>
    <row r="16" spans="1:18" x14ac:dyDescent="0.3">
      <c r="A16" s="12" t="s">
        <v>61</v>
      </c>
      <c r="B16" s="12"/>
      <c r="C16" s="12"/>
    </row>
    <row r="17" spans="1:3" x14ac:dyDescent="0.3">
      <c r="A17" s="15" t="s">
        <v>62</v>
      </c>
      <c r="B17" s="15"/>
      <c r="C17" s="15"/>
    </row>
    <row r="18" spans="1:3" x14ac:dyDescent="0.3">
      <c r="A18" s="18" t="s">
        <v>63</v>
      </c>
      <c r="B18" s="18"/>
      <c r="C18" s="18"/>
    </row>
    <row r="19" spans="1:3" x14ac:dyDescent="0.3">
      <c r="A19" s="21" t="s">
        <v>64</v>
      </c>
      <c r="B19" s="21"/>
    </row>
    <row r="20" spans="1:3" x14ac:dyDescent="0.3">
      <c r="A20" s="26" t="s">
        <v>65</v>
      </c>
      <c r="B20" s="26"/>
      <c r="C20" s="26"/>
    </row>
    <row r="21" spans="1:3" x14ac:dyDescent="0.3">
      <c r="A21" s="29" t="s">
        <v>66</v>
      </c>
      <c r="B21" s="29"/>
      <c r="C21" s="29"/>
    </row>
    <row r="22" spans="1:3" x14ac:dyDescent="0.3">
      <c r="A22" s="30" t="s">
        <v>67</v>
      </c>
      <c r="B22" s="30"/>
      <c r="C22" s="30"/>
    </row>
  </sheetData>
  <hyperlinks>
    <hyperlink ref="C2" r:id="rId1" display="mailto:rahul.sharma@gmail.com" xr:uid="{AFFD128B-21FD-44D7-8DED-56CA98AC6266}"/>
    <hyperlink ref="C3" r:id="rId2" display="mailto:priya.sen@yahoo.com" xr:uid="{284E9C32-B8E4-4D3E-A92C-CB834A254593}"/>
    <hyperlink ref="C4" r:id="rId3" display="mailto:amit.roy@gmail.com" xr:uid="{3A19BC8A-5E4D-466F-A92D-A84741F6DD3D}"/>
    <hyperlink ref="C5" r:id="rId4" display="mailto:sneha.das@outlook.com" xr:uid="{E3296415-DBC0-49F5-A5B1-857AE8AA2766}"/>
    <hyperlink ref="C6" r:id="rId5" display="mailto:arjun.mehta@gmail.com" xr:uid="{E9851236-DCCE-4796-9CBB-258C82EAA227}"/>
    <hyperlink ref="C7" r:id="rId6" display="mailto:neha.gupta@yahoo.com" xr:uid="{1F72C850-8BF0-4B4F-ADF2-9A31644DCA4B}"/>
    <hyperlink ref="C8" r:id="rId7" display="mailto:rohan.paul@gmail.com" xr:uid="{3B0CD34C-2F67-4429-BDEA-281DEC44B69A}"/>
    <hyperlink ref="C9" r:id="rId8" display="mailto:ananya.bose@gmail.com" xr:uid="{2038DCF2-7D69-4C6F-B16D-508E5076C56C}"/>
    <hyperlink ref="C10" r:id="rId9" display="mailto:karan.singh@yahoo.com" xr:uid="{7AAE62E3-B951-409A-B134-5CC4536F43C5}"/>
    <hyperlink ref="C11" r:id="rId10" display="mailto:pooja.das@gmail.com" xr:uid="{3537E77D-5DEE-463D-9F94-B10C6F5C660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Srabani Kar</cp:lastModifiedBy>
  <dcterms:created xsi:type="dcterms:W3CDTF">2026-10-06T06:56:32Z</dcterms:created>
  <dcterms:modified xsi:type="dcterms:W3CDTF">2026-10-12T15:40:37Z</dcterms:modified>
</cp:coreProperties>
</file>