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Class Work\Day-3\"/>
    </mc:Choice>
  </mc:AlternateContent>
  <xr:revisionPtr revIDLastSave="0" documentId="13_ncr:1_{5ECC52A7-4296-4DE6-B62B-322A70F72260}" xr6:coauthVersionLast="47" xr6:coauthVersionMax="47" xr10:uidLastSave="{00000000-0000-0000-0000-000000000000}"/>
  <bookViews>
    <workbookView xWindow="-108" yWindow="-108" windowWidth="23256" windowHeight="12456" activeTab="2" xr2:uid="{13CA2B02-31DF-415F-92D8-276AD598A797}"/>
  </bookViews>
  <sheets>
    <sheet name="Employees" sheetId="1" r:id="rId1"/>
    <sheet name="Departments" sheetId="3" r:id="rId2"/>
    <sheet name="Performance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R4" i="1"/>
  <c r="O501" i="1"/>
  <c r="N501" i="1" a="1"/>
  <c r="M501" i="1"/>
  <c r="O500" i="1"/>
  <c r="N500" i="1" a="1"/>
  <c r="M500" i="1"/>
  <c r="O499" i="1"/>
  <c r="N499" i="1" a="1"/>
  <c r="M499" i="1"/>
  <c r="O498" i="1"/>
  <c r="N498" i="1" a="1"/>
  <c r="M498" i="1"/>
  <c r="O497" i="1"/>
  <c r="N497" i="1" a="1"/>
  <c r="M497" i="1"/>
  <c r="O496" i="1"/>
  <c r="N496" i="1" a="1"/>
  <c r="M496" i="1"/>
  <c r="O495" i="1"/>
  <c r="N495" i="1" a="1"/>
  <c r="M495" i="1"/>
  <c r="O494" i="1"/>
  <c r="N494" i="1" a="1"/>
  <c r="M494" i="1"/>
  <c r="O493" i="1"/>
  <c r="N493" i="1" a="1"/>
  <c r="M493" i="1"/>
  <c r="O492" i="1"/>
  <c r="N492" i="1" a="1"/>
  <c r="M492" i="1"/>
  <c r="O491" i="1"/>
  <c r="N491" i="1" a="1"/>
  <c r="M491" i="1"/>
  <c r="O490" i="1"/>
  <c r="N490" i="1" a="1"/>
  <c r="M490" i="1"/>
  <c r="O489" i="1"/>
  <c r="N489" i="1" a="1"/>
  <c r="M489" i="1"/>
  <c r="O488" i="1"/>
  <c r="N488" i="1" a="1"/>
  <c r="M488" i="1"/>
  <c r="O487" i="1"/>
  <c r="N487" i="1" a="1"/>
  <c r="M487" i="1"/>
  <c r="O486" i="1"/>
  <c r="N486" i="1" a="1"/>
  <c r="M486" i="1"/>
  <c r="O485" i="1"/>
  <c r="N485" i="1" a="1"/>
  <c r="M485" i="1"/>
  <c r="O484" i="1"/>
  <c r="N484" i="1" a="1"/>
  <c r="M484" i="1"/>
  <c r="O483" i="1"/>
  <c r="N483" i="1" a="1"/>
  <c r="M483" i="1"/>
  <c r="O482" i="1"/>
  <c r="N482" i="1" a="1"/>
  <c r="M482" i="1"/>
  <c r="O481" i="1"/>
  <c r="N481" i="1" a="1"/>
  <c r="M481" i="1"/>
  <c r="O480" i="1"/>
  <c r="N480" i="1" a="1"/>
  <c r="M480" i="1"/>
  <c r="O479" i="1"/>
  <c r="N479" i="1" a="1"/>
  <c r="M479" i="1"/>
  <c r="O478" i="1"/>
  <c r="N478" i="1" a="1"/>
  <c r="M478" i="1"/>
  <c r="O477" i="1"/>
  <c r="N477" i="1" a="1"/>
  <c r="M477" i="1"/>
  <c r="O476" i="1"/>
  <c r="N476" i="1" a="1"/>
  <c r="M476" i="1"/>
  <c r="O475" i="1"/>
  <c r="N475" i="1" a="1"/>
  <c r="M475" i="1"/>
  <c r="O474" i="1"/>
  <c r="N474" i="1" a="1"/>
  <c r="M474" i="1"/>
  <c r="O473" i="1"/>
  <c r="N473" i="1" a="1"/>
  <c r="M473" i="1"/>
  <c r="O472" i="1"/>
  <c r="N472" i="1" a="1"/>
  <c r="M472" i="1"/>
  <c r="O471" i="1"/>
  <c r="N471" i="1" a="1"/>
  <c r="M471" i="1"/>
  <c r="O470" i="1"/>
  <c r="N470" i="1" a="1"/>
  <c r="M470" i="1"/>
  <c r="O469" i="1"/>
  <c r="N469" i="1" a="1"/>
  <c r="M469" i="1"/>
  <c r="O468" i="1"/>
  <c r="N468" i="1" a="1"/>
  <c r="M468" i="1"/>
  <c r="O467" i="1"/>
  <c r="N467" i="1" a="1"/>
  <c r="M467" i="1"/>
  <c r="O466" i="1"/>
  <c r="N466" i="1" a="1"/>
  <c r="M466" i="1"/>
  <c r="O465" i="1"/>
  <c r="N465" i="1" a="1"/>
  <c r="M465" i="1"/>
  <c r="O464" i="1"/>
  <c r="N464" i="1" a="1"/>
  <c r="M464" i="1"/>
  <c r="O463" i="1"/>
  <c r="N463" i="1" a="1"/>
  <c r="M463" i="1"/>
  <c r="O462" i="1"/>
  <c r="N462" i="1" a="1"/>
  <c r="M462" i="1"/>
  <c r="O461" i="1"/>
  <c r="N461" i="1" a="1"/>
  <c r="M461" i="1"/>
  <c r="O460" i="1"/>
  <c r="N460" i="1" a="1"/>
  <c r="M460" i="1"/>
  <c r="O459" i="1"/>
  <c r="N459" i="1" a="1"/>
  <c r="M459" i="1"/>
  <c r="O458" i="1"/>
  <c r="N458" i="1" a="1"/>
  <c r="M458" i="1"/>
  <c r="O457" i="1"/>
  <c r="N457" i="1" a="1"/>
  <c r="M457" i="1"/>
  <c r="O456" i="1"/>
  <c r="N456" i="1" a="1"/>
  <c r="M456" i="1"/>
  <c r="O455" i="1"/>
  <c r="N455" i="1" a="1"/>
  <c r="M455" i="1"/>
  <c r="O454" i="1"/>
  <c r="N454" i="1" a="1"/>
  <c r="M454" i="1"/>
  <c r="O453" i="1"/>
  <c r="N453" i="1" a="1"/>
  <c r="M453" i="1"/>
  <c r="O452" i="1"/>
  <c r="N452" i="1" a="1"/>
  <c r="M452" i="1"/>
  <c r="O451" i="1"/>
  <c r="N451" i="1" a="1"/>
  <c r="M451" i="1"/>
  <c r="O450" i="1"/>
  <c r="N450" i="1" a="1"/>
  <c r="M450" i="1"/>
  <c r="O449" i="1"/>
  <c r="N449" i="1" a="1"/>
  <c r="M449" i="1"/>
  <c r="O448" i="1"/>
  <c r="N448" i="1" a="1"/>
  <c r="M448" i="1"/>
  <c r="O447" i="1"/>
  <c r="N447" i="1" a="1"/>
  <c r="M447" i="1"/>
  <c r="O446" i="1"/>
  <c r="N446" i="1" a="1"/>
  <c r="M446" i="1"/>
  <c r="O445" i="1"/>
  <c r="N445" i="1" a="1"/>
  <c r="M445" i="1"/>
  <c r="O444" i="1"/>
  <c r="N444" i="1" a="1"/>
  <c r="M444" i="1"/>
  <c r="O443" i="1"/>
  <c r="N443" i="1" a="1"/>
  <c r="M443" i="1"/>
  <c r="O442" i="1"/>
  <c r="N442" i="1" a="1"/>
  <c r="M442" i="1"/>
  <c r="O441" i="1"/>
  <c r="N441" i="1" a="1"/>
  <c r="M441" i="1"/>
  <c r="O440" i="1"/>
  <c r="N440" i="1" a="1"/>
  <c r="M440" i="1"/>
  <c r="O439" i="1"/>
  <c r="N439" i="1" a="1"/>
  <c r="M439" i="1"/>
  <c r="O438" i="1"/>
  <c r="N438" i="1" a="1"/>
  <c r="M438" i="1"/>
  <c r="O437" i="1"/>
  <c r="N437" i="1" a="1"/>
  <c r="M437" i="1"/>
  <c r="O436" i="1"/>
  <c r="N436" i="1" a="1"/>
  <c r="M436" i="1"/>
  <c r="O435" i="1"/>
  <c r="N435" i="1" a="1"/>
  <c r="M435" i="1"/>
  <c r="O434" i="1"/>
  <c r="N434" i="1" a="1"/>
  <c r="M434" i="1"/>
  <c r="O433" i="1"/>
  <c r="N433" i="1" a="1"/>
  <c r="M433" i="1"/>
  <c r="O432" i="1"/>
  <c r="N432" i="1" a="1"/>
  <c r="M432" i="1"/>
  <c r="O431" i="1"/>
  <c r="N431" i="1" a="1"/>
  <c r="M431" i="1"/>
  <c r="O430" i="1"/>
  <c r="N430" i="1" a="1"/>
  <c r="M430" i="1"/>
  <c r="O429" i="1"/>
  <c r="N429" i="1" a="1"/>
  <c r="M429" i="1"/>
  <c r="O428" i="1"/>
  <c r="N428" i="1" a="1"/>
  <c r="M428" i="1"/>
  <c r="O427" i="1"/>
  <c r="N427" i="1" a="1"/>
  <c r="M427" i="1"/>
  <c r="O426" i="1"/>
  <c r="N426" i="1" a="1"/>
  <c r="M426" i="1"/>
  <c r="O425" i="1"/>
  <c r="N425" i="1" a="1"/>
  <c r="M425" i="1"/>
  <c r="O424" i="1"/>
  <c r="N424" i="1" a="1"/>
  <c r="M424" i="1"/>
  <c r="O423" i="1"/>
  <c r="N423" i="1" a="1"/>
  <c r="M423" i="1"/>
  <c r="O422" i="1"/>
  <c r="N422" i="1" a="1"/>
  <c r="M422" i="1"/>
  <c r="O421" i="1"/>
  <c r="N421" i="1" a="1"/>
  <c r="M421" i="1"/>
  <c r="O420" i="1"/>
  <c r="N420" i="1" a="1"/>
  <c r="M420" i="1"/>
  <c r="O419" i="1"/>
  <c r="N419" i="1" a="1"/>
  <c r="M419" i="1"/>
  <c r="O418" i="1"/>
  <c r="N418" i="1" a="1"/>
  <c r="M418" i="1"/>
  <c r="O417" i="1"/>
  <c r="N417" i="1" a="1"/>
  <c r="M417" i="1"/>
  <c r="O416" i="1"/>
  <c r="N416" i="1" a="1"/>
  <c r="M416" i="1"/>
  <c r="O415" i="1"/>
  <c r="N415" i="1" a="1"/>
  <c r="M415" i="1"/>
  <c r="O414" i="1"/>
  <c r="N414" i="1" a="1"/>
  <c r="M414" i="1"/>
  <c r="O413" i="1"/>
  <c r="N413" i="1" a="1"/>
  <c r="M413" i="1"/>
  <c r="O412" i="1"/>
  <c r="N412" i="1" a="1"/>
  <c r="M412" i="1"/>
  <c r="O411" i="1"/>
  <c r="N411" i="1" a="1"/>
  <c r="M411" i="1"/>
  <c r="O410" i="1"/>
  <c r="N410" i="1" a="1"/>
  <c r="M410" i="1"/>
  <c r="O409" i="1"/>
  <c r="N409" i="1" a="1"/>
  <c r="M409" i="1"/>
  <c r="O408" i="1"/>
  <c r="N408" i="1" a="1"/>
  <c r="M408" i="1"/>
  <c r="O407" i="1"/>
  <c r="N407" i="1" a="1"/>
  <c r="M407" i="1"/>
  <c r="O406" i="1"/>
  <c r="N406" i="1" a="1"/>
  <c r="M406" i="1"/>
  <c r="O405" i="1"/>
  <c r="N405" i="1" a="1"/>
  <c r="M405" i="1"/>
  <c r="O404" i="1"/>
  <c r="N404" i="1" a="1"/>
  <c r="M404" i="1"/>
  <c r="O403" i="1"/>
  <c r="N403" i="1" a="1"/>
  <c r="M403" i="1"/>
  <c r="O402" i="1"/>
  <c r="N402" i="1" a="1"/>
  <c r="M402" i="1"/>
  <c r="O401" i="1"/>
  <c r="N401" i="1" a="1"/>
  <c r="M401" i="1"/>
  <c r="O400" i="1"/>
  <c r="N400" i="1" a="1"/>
  <c r="M400" i="1"/>
  <c r="O399" i="1"/>
  <c r="N399" i="1" a="1"/>
  <c r="M399" i="1"/>
  <c r="O398" i="1"/>
  <c r="N398" i="1" a="1"/>
  <c r="M398" i="1"/>
  <c r="O397" i="1"/>
  <c r="N397" i="1" a="1"/>
  <c r="M397" i="1"/>
  <c r="O396" i="1"/>
  <c r="N396" i="1" a="1"/>
  <c r="M396" i="1"/>
  <c r="O395" i="1"/>
  <c r="N395" i="1" a="1"/>
  <c r="M395" i="1"/>
  <c r="O394" i="1"/>
  <c r="N394" i="1" a="1"/>
  <c r="M394" i="1"/>
  <c r="O393" i="1"/>
  <c r="N393" i="1" a="1"/>
  <c r="M393" i="1"/>
  <c r="O392" i="1"/>
  <c r="N392" i="1" a="1"/>
  <c r="M392" i="1"/>
  <c r="O391" i="1"/>
  <c r="N391" i="1" a="1"/>
  <c r="M391" i="1"/>
  <c r="O390" i="1"/>
  <c r="N390" i="1" a="1"/>
  <c r="M390" i="1"/>
  <c r="O389" i="1"/>
  <c r="N389" i="1" a="1"/>
  <c r="M389" i="1"/>
  <c r="O388" i="1"/>
  <c r="N388" i="1" a="1"/>
  <c r="M388" i="1"/>
  <c r="O387" i="1"/>
  <c r="N387" i="1" a="1"/>
  <c r="M387" i="1"/>
  <c r="O386" i="1"/>
  <c r="N386" i="1" a="1"/>
  <c r="M386" i="1"/>
  <c r="O385" i="1"/>
  <c r="N385" i="1" a="1"/>
  <c r="M385" i="1"/>
  <c r="O384" i="1"/>
  <c r="N384" i="1" a="1"/>
  <c r="M384" i="1"/>
  <c r="O383" i="1"/>
  <c r="N383" i="1" a="1"/>
  <c r="M383" i="1"/>
  <c r="O382" i="1"/>
  <c r="N382" i="1" a="1"/>
  <c r="M382" i="1"/>
  <c r="O381" i="1"/>
  <c r="N381" i="1" a="1"/>
  <c r="M381" i="1"/>
  <c r="O380" i="1"/>
  <c r="N380" i="1" a="1"/>
  <c r="M380" i="1"/>
  <c r="O379" i="1"/>
  <c r="N379" i="1" a="1"/>
  <c r="M379" i="1"/>
  <c r="O378" i="1"/>
  <c r="N378" i="1" a="1"/>
  <c r="M378" i="1"/>
  <c r="O377" i="1"/>
  <c r="N377" i="1" a="1"/>
  <c r="M377" i="1"/>
  <c r="O376" i="1"/>
  <c r="N376" i="1" a="1"/>
  <c r="M376" i="1"/>
  <c r="O375" i="1"/>
  <c r="N375" i="1" a="1"/>
  <c r="M375" i="1"/>
  <c r="O374" i="1"/>
  <c r="N374" i="1" a="1"/>
  <c r="M374" i="1"/>
  <c r="O373" i="1"/>
  <c r="N373" i="1" a="1"/>
  <c r="M373" i="1"/>
  <c r="O372" i="1"/>
  <c r="N372" i="1" a="1"/>
  <c r="M372" i="1"/>
  <c r="O371" i="1"/>
  <c r="N371" i="1" a="1"/>
  <c r="M371" i="1"/>
  <c r="O370" i="1"/>
  <c r="N370" i="1" a="1"/>
  <c r="M370" i="1"/>
  <c r="O369" i="1"/>
  <c r="N369" i="1" a="1"/>
  <c r="M369" i="1"/>
  <c r="O368" i="1"/>
  <c r="N368" i="1" a="1"/>
  <c r="M368" i="1"/>
  <c r="O367" i="1"/>
  <c r="N367" i="1" a="1"/>
  <c r="M367" i="1"/>
  <c r="O366" i="1"/>
  <c r="N366" i="1" a="1"/>
  <c r="M366" i="1"/>
  <c r="O365" i="1"/>
  <c r="N365" i="1" a="1"/>
  <c r="M365" i="1"/>
  <c r="O364" i="1"/>
  <c r="N364" i="1" a="1"/>
  <c r="M364" i="1"/>
  <c r="O363" i="1"/>
  <c r="N363" i="1" a="1"/>
  <c r="M363" i="1"/>
  <c r="O362" i="1"/>
  <c r="N362" i="1" a="1"/>
  <c r="M362" i="1"/>
  <c r="O361" i="1"/>
  <c r="N361" i="1" a="1"/>
  <c r="M361" i="1"/>
  <c r="O360" i="1"/>
  <c r="N360" i="1" a="1"/>
  <c r="M360" i="1"/>
  <c r="O359" i="1"/>
  <c r="N359" i="1" a="1"/>
  <c r="M359" i="1"/>
  <c r="O358" i="1"/>
  <c r="N358" i="1" a="1"/>
  <c r="M358" i="1"/>
  <c r="O357" i="1"/>
  <c r="N357" i="1" a="1"/>
  <c r="M357" i="1"/>
  <c r="O356" i="1"/>
  <c r="N356" i="1" a="1"/>
  <c r="M356" i="1"/>
  <c r="O355" i="1"/>
  <c r="N355" i="1" a="1"/>
  <c r="M355" i="1"/>
  <c r="O354" i="1"/>
  <c r="N354" i="1" a="1"/>
  <c r="M354" i="1"/>
  <c r="O353" i="1"/>
  <c r="N353" i="1" a="1"/>
  <c r="M353" i="1"/>
  <c r="O352" i="1"/>
  <c r="N352" i="1" a="1"/>
  <c r="M352" i="1"/>
  <c r="O351" i="1"/>
  <c r="N351" i="1" a="1"/>
  <c r="M351" i="1"/>
  <c r="O350" i="1"/>
  <c r="N350" i="1" a="1"/>
  <c r="M350" i="1"/>
  <c r="O349" i="1"/>
  <c r="N349" i="1" a="1"/>
  <c r="M349" i="1"/>
  <c r="O348" i="1"/>
  <c r="N348" i="1" a="1"/>
  <c r="M348" i="1"/>
  <c r="O347" i="1"/>
  <c r="N347" i="1" a="1"/>
  <c r="M347" i="1"/>
  <c r="O346" i="1"/>
  <c r="N346" i="1" a="1"/>
  <c r="M346" i="1"/>
  <c r="O345" i="1"/>
  <c r="N345" i="1" a="1"/>
  <c r="M345" i="1"/>
  <c r="O344" i="1"/>
  <c r="N344" i="1" a="1"/>
  <c r="M344" i="1"/>
  <c r="O343" i="1"/>
  <c r="N343" i="1" a="1"/>
  <c r="M343" i="1"/>
  <c r="O342" i="1"/>
  <c r="N342" i="1" a="1"/>
  <c r="M342" i="1"/>
  <c r="O341" i="1"/>
  <c r="N341" i="1" a="1"/>
  <c r="M341" i="1"/>
  <c r="O340" i="1"/>
  <c r="N340" i="1" a="1"/>
  <c r="M340" i="1"/>
  <c r="O339" i="1"/>
  <c r="N339" i="1" a="1"/>
  <c r="M339" i="1"/>
  <c r="O338" i="1"/>
  <c r="N338" i="1" a="1"/>
  <c r="M338" i="1"/>
  <c r="O337" i="1"/>
  <c r="N337" i="1" a="1"/>
  <c r="M337" i="1"/>
  <c r="O336" i="1"/>
  <c r="N336" i="1" a="1"/>
  <c r="M336" i="1"/>
  <c r="O335" i="1"/>
  <c r="N335" i="1" a="1"/>
  <c r="M335" i="1"/>
  <c r="O334" i="1"/>
  <c r="N334" i="1" a="1"/>
  <c r="M334" i="1"/>
  <c r="O333" i="1"/>
  <c r="N333" i="1" a="1"/>
  <c r="M333" i="1"/>
  <c r="O332" i="1"/>
  <c r="N332" i="1" a="1"/>
  <c r="M332" i="1"/>
  <c r="O331" i="1"/>
  <c r="N331" i="1" a="1"/>
  <c r="M331" i="1"/>
  <c r="O330" i="1"/>
  <c r="N330" i="1" a="1"/>
  <c r="M330" i="1"/>
  <c r="O329" i="1"/>
  <c r="N329" i="1" a="1"/>
  <c r="M329" i="1"/>
  <c r="O328" i="1"/>
  <c r="N328" i="1" a="1"/>
  <c r="M328" i="1"/>
  <c r="O327" i="1"/>
  <c r="N327" i="1" a="1"/>
  <c r="M327" i="1"/>
  <c r="O326" i="1"/>
  <c r="N326" i="1" a="1"/>
  <c r="M326" i="1"/>
  <c r="O325" i="1"/>
  <c r="N325" i="1" a="1"/>
  <c r="M325" i="1"/>
  <c r="O324" i="1"/>
  <c r="N324" i="1" a="1"/>
  <c r="M324" i="1"/>
  <c r="O323" i="1"/>
  <c r="N323" i="1" a="1"/>
  <c r="M323" i="1"/>
  <c r="O322" i="1"/>
  <c r="N322" i="1" a="1"/>
  <c r="M322" i="1"/>
  <c r="O321" i="1"/>
  <c r="N321" i="1" a="1"/>
  <c r="M321" i="1"/>
  <c r="O320" i="1"/>
  <c r="N320" i="1" a="1"/>
  <c r="M320" i="1"/>
  <c r="O319" i="1"/>
  <c r="N319" i="1" a="1"/>
  <c r="M319" i="1"/>
  <c r="O318" i="1"/>
  <c r="N318" i="1" a="1"/>
  <c r="M318" i="1"/>
  <c r="O317" i="1"/>
  <c r="N317" i="1" a="1"/>
  <c r="M317" i="1"/>
  <c r="O316" i="1"/>
  <c r="N316" i="1" a="1"/>
  <c r="M316" i="1"/>
  <c r="O315" i="1"/>
  <c r="N315" i="1" a="1"/>
  <c r="M315" i="1"/>
  <c r="O314" i="1"/>
  <c r="N314" i="1" a="1"/>
  <c r="M314" i="1"/>
  <c r="O313" i="1"/>
  <c r="N313" i="1" a="1"/>
  <c r="M313" i="1"/>
  <c r="O312" i="1"/>
  <c r="N312" i="1" a="1"/>
  <c r="M312" i="1"/>
  <c r="O311" i="1"/>
  <c r="N311" i="1" a="1"/>
  <c r="M311" i="1"/>
  <c r="O310" i="1"/>
  <c r="N310" i="1" a="1"/>
  <c r="M310" i="1"/>
  <c r="O309" i="1"/>
  <c r="N309" i="1" a="1"/>
  <c r="M309" i="1"/>
  <c r="O308" i="1"/>
  <c r="N308" i="1" a="1"/>
  <c r="M308" i="1"/>
  <c r="O307" i="1"/>
  <c r="N307" i="1" a="1"/>
  <c r="M307" i="1"/>
  <c r="O306" i="1"/>
  <c r="N306" i="1" a="1"/>
  <c r="M306" i="1"/>
  <c r="O305" i="1"/>
  <c r="N305" i="1" a="1"/>
  <c r="M305" i="1"/>
  <c r="O304" i="1"/>
  <c r="N304" i="1" a="1"/>
  <c r="M304" i="1"/>
  <c r="O303" i="1"/>
  <c r="N303" i="1" a="1"/>
  <c r="M303" i="1"/>
  <c r="O302" i="1"/>
  <c r="N302" i="1" a="1"/>
  <c r="M302" i="1"/>
  <c r="O301" i="1"/>
  <c r="N301" i="1" a="1"/>
  <c r="M301" i="1"/>
  <c r="O300" i="1"/>
  <c r="N300" i="1" a="1"/>
  <c r="M300" i="1"/>
  <c r="O299" i="1"/>
  <c r="N299" i="1" a="1"/>
  <c r="M299" i="1"/>
  <c r="O298" i="1"/>
  <c r="N298" i="1" a="1"/>
  <c r="M298" i="1"/>
  <c r="O297" i="1"/>
  <c r="N297" i="1" a="1"/>
  <c r="M297" i="1"/>
  <c r="O296" i="1"/>
  <c r="N296" i="1" a="1"/>
  <c r="M296" i="1"/>
  <c r="O295" i="1"/>
  <c r="N295" i="1" a="1"/>
  <c r="M295" i="1"/>
  <c r="O294" i="1"/>
  <c r="N294" i="1" a="1"/>
  <c r="M294" i="1"/>
  <c r="O293" i="1"/>
  <c r="N293" i="1" a="1"/>
  <c r="M293" i="1"/>
  <c r="O292" i="1"/>
  <c r="N292" i="1" a="1"/>
  <c r="M292" i="1"/>
  <c r="O291" i="1"/>
  <c r="N291" i="1" a="1"/>
  <c r="M291" i="1"/>
  <c r="O290" i="1"/>
  <c r="N290" i="1" a="1"/>
  <c r="M290" i="1"/>
  <c r="O289" i="1"/>
  <c r="N289" i="1" a="1"/>
  <c r="M289" i="1"/>
  <c r="O288" i="1"/>
  <c r="N288" i="1" a="1"/>
  <c r="M288" i="1"/>
  <c r="O287" i="1"/>
  <c r="N287" i="1" a="1"/>
  <c r="M287" i="1"/>
  <c r="O286" i="1"/>
  <c r="N286" i="1" a="1"/>
  <c r="M286" i="1"/>
  <c r="O285" i="1"/>
  <c r="N285" i="1" a="1"/>
  <c r="M285" i="1"/>
  <c r="O284" i="1"/>
  <c r="N284" i="1" a="1"/>
  <c r="M284" i="1"/>
  <c r="O283" i="1"/>
  <c r="N283" i="1" a="1"/>
  <c r="M283" i="1"/>
  <c r="O282" i="1"/>
  <c r="N282" i="1" a="1"/>
  <c r="M282" i="1"/>
  <c r="O281" i="1"/>
  <c r="N281" i="1" a="1"/>
  <c r="M281" i="1"/>
  <c r="O280" i="1"/>
  <c r="N280" i="1" a="1"/>
  <c r="M280" i="1"/>
  <c r="O279" i="1"/>
  <c r="N279" i="1" a="1"/>
  <c r="M279" i="1"/>
  <c r="O278" i="1"/>
  <c r="N278" i="1" a="1"/>
  <c r="M278" i="1"/>
  <c r="O277" i="1"/>
  <c r="N277" i="1" a="1"/>
  <c r="M277" i="1"/>
  <c r="O276" i="1"/>
  <c r="N276" i="1" a="1"/>
  <c r="M276" i="1"/>
  <c r="O275" i="1"/>
  <c r="N275" i="1" a="1"/>
  <c r="M275" i="1"/>
  <c r="O274" i="1"/>
  <c r="N274" i="1" a="1"/>
  <c r="M274" i="1"/>
  <c r="O273" i="1"/>
  <c r="N273" i="1" a="1"/>
  <c r="M273" i="1"/>
  <c r="O272" i="1"/>
  <c r="N272" i="1" a="1"/>
  <c r="M272" i="1"/>
  <c r="O271" i="1"/>
  <c r="N271" i="1" a="1"/>
  <c r="M271" i="1"/>
  <c r="O270" i="1"/>
  <c r="N270" i="1" a="1"/>
  <c r="M270" i="1"/>
  <c r="O269" i="1"/>
  <c r="N269" i="1" a="1"/>
  <c r="M269" i="1"/>
  <c r="O268" i="1"/>
  <c r="N268" i="1" a="1"/>
  <c r="M268" i="1"/>
  <c r="O267" i="1"/>
  <c r="N267" i="1" a="1"/>
  <c r="M267" i="1"/>
  <c r="O266" i="1"/>
  <c r="N266" i="1" a="1"/>
  <c r="M266" i="1"/>
  <c r="O265" i="1"/>
  <c r="N265" i="1" a="1"/>
  <c r="M265" i="1"/>
  <c r="O264" i="1"/>
  <c r="N264" i="1" a="1"/>
  <c r="M264" i="1"/>
  <c r="O263" i="1"/>
  <c r="N263" i="1" a="1"/>
  <c r="M263" i="1"/>
  <c r="O262" i="1"/>
  <c r="N262" i="1" a="1"/>
  <c r="M262" i="1"/>
  <c r="O261" i="1"/>
  <c r="N261" i="1" a="1"/>
  <c r="M261" i="1"/>
  <c r="O260" i="1"/>
  <c r="N260" i="1" a="1"/>
  <c r="M260" i="1"/>
  <c r="O259" i="1"/>
  <c r="N259" i="1" a="1"/>
  <c r="M259" i="1"/>
  <c r="O258" i="1"/>
  <c r="N258" i="1" a="1"/>
  <c r="M258" i="1"/>
  <c r="O257" i="1"/>
  <c r="N257" i="1" a="1"/>
  <c r="M257" i="1"/>
  <c r="O256" i="1"/>
  <c r="N256" i="1" a="1"/>
  <c r="M256" i="1"/>
  <c r="O255" i="1"/>
  <c r="N255" i="1" a="1"/>
  <c r="M255" i="1"/>
  <c r="O254" i="1"/>
  <c r="N254" i="1" a="1"/>
  <c r="M254" i="1"/>
  <c r="O253" i="1"/>
  <c r="N253" i="1" a="1"/>
  <c r="M253" i="1"/>
  <c r="O252" i="1"/>
  <c r="N252" i="1" a="1"/>
  <c r="M252" i="1"/>
  <c r="O251" i="1"/>
  <c r="N251" i="1" a="1"/>
  <c r="M251" i="1"/>
  <c r="O250" i="1"/>
  <c r="N250" i="1" a="1"/>
  <c r="M250" i="1"/>
  <c r="O249" i="1"/>
  <c r="N249" i="1" a="1"/>
  <c r="M249" i="1"/>
  <c r="O248" i="1"/>
  <c r="N248" i="1" a="1"/>
  <c r="M248" i="1"/>
  <c r="O247" i="1"/>
  <c r="N247" i="1" a="1"/>
  <c r="M247" i="1"/>
  <c r="O246" i="1"/>
  <c r="N246" i="1" a="1"/>
  <c r="M246" i="1"/>
  <c r="O245" i="1"/>
  <c r="N245" i="1" a="1"/>
  <c r="M245" i="1"/>
  <c r="O244" i="1"/>
  <c r="N244" i="1" a="1"/>
  <c r="M244" i="1"/>
  <c r="O243" i="1"/>
  <c r="N243" i="1" a="1"/>
  <c r="M243" i="1"/>
  <c r="O242" i="1"/>
  <c r="N242" i="1" a="1"/>
  <c r="M242" i="1"/>
  <c r="O241" i="1"/>
  <c r="N241" i="1" a="1"/>
  <c r="M241" i="1"/>
  <c r="O240" i="1"/>
  <c r="N240" i="1" a="1"/>
  <c r="M240" i="1"/>
  <c r="O239" i="1"/>
  <c r="N239" i="1" a="1"/>
  <c r="M239" i="1"/>
  <c r="O238" i="1"/>
  <c r="N238" i="1" a="1"/>
  <c r="M238" i="1"/>
  <c r="O237" i="1"/>
  <c r="N237" i="1" a="1"/>
  <c r="M237" i="1"/>
  <c r="O236" i="1"/>
  <c r="N236" i="1" a="1"/>
  <c r="M236" i="1"/>
  <c r="O235" i="1"/>
  <c r="N235" i="1" a="1"/>
  <c r="M235" i="1"/>
  <c r="O234" i="1"/>
  <c r="N234" i="1" a="1"/>
  <c r="M234" i="1"/>
  <c r="O233" i="1"/>
  <c r="N233" i="1" a="1"/>
  <c r="M233" i="1"/>
  <c r="O232" i="1"/>
  <c r="N232" i="1" a="1"/>
  <c r="M232" i="1"/>
  <c r="O231" i="1"/>
  <c r="N231" i="1" a="1"/>
  <c r="M231" i="1"/>
  <c r="O230" i="1"/>
  <c r="N230" i="1" a="1"/>
  <c r="M230" i="1"/>
  <c r="O229" i="1"/>
  <c r="N229" i="1" a="1"/>
  <c r="M229" i="1"/>
  <c r="O228" i="1"/>
  <c r="N228" i="1" a="1"/>
  <c r="M228" i="1"/>
  <c r="O227" i="1"/>
  <c r="N227" i="1" a="1"/>
  <c r="M227" i="1"/>
  <c r="O226" i="1"/>
  <c r="N226" i="1" a="1"/>
  <c r="M226" i="1"/>
  <c r="O225" i="1"/>
  <c r="N225" i="1" a="1"/>
  <c r="M225" i="1"/>
  <c r="O224" i="1"/>
  <c r="N224" i="1" a="1"/>
  <c r="M224" i="1"/>
  <c r="O223" i="1"/>
  <c r="N223" i="1" a="1"/>
  <c r="M223" i="1"/>
  <c r="O222" i="1"/>
  <c r="N222" i="1" a="1"/>
  <c r="M222" i="1"/>
  <c r="O221" i="1"/>
  <c r="N221" i="1" a="1"/>
  <c r="M221" i="1"/>
  <c r="O220" i="1"/>
  <c r="N220" i="1" a="1"/>
  <c r="M220" i="1"/>
  <c r="O219" i="1"/>
  <c r="N219" i="1" a="1"/>
  <c r="M219" i="1"/>
  <c r="O218" i="1"/>
  <c r="N218" i="1" a="1"/>
  <c r="M218" i="1"/>
  <c r="O217" i="1"/>
  <c r="N217" i="1" a="1"/>
  <c r="M217" i="1"/>
  <c r="O216" i="1"/>
  <c r="N216" i="1" a="1"/>
  <c r="M216" i="1"/>
  <c r="O215" i="1"/>
  <c r="N215" i="1" a="1"/>
  <c r="M215" i="1"/>
  <c r="O214" i="1"/>
  <c r="N214" i="1" a="1"/>
  <c r="M214" i="1"/>
  <c r="O213" i="1"/>
  <c r="N213" i="1" a="1"/>
  <c r="M213" i="1"/>
  <c r="O212" i="1"/>
  <c r="N212" i="1" a="1"/>
  <c r="M212" i="1"/>
  <c r="O211" i="1"/>
  <c r="N211" i="1" a="1"/>
  <c r="M211" i="1"/>
  <c r="O210" i="1"/>
  <c r="N210" i="1" a="1"/>
  <c r="M210" i="1"/>
  <c r="O209" i="1"/>
  <c r="N209" i="1" a="1"/>
  <c r="M209" i="1"/>
  <c r="O208" i="1"/>
  <c r="N208" i="1" a="1"/>
  <c r="M208" i="1"/>
  <c r="O207" i="1"/>
  <c r="N207" i="1" a="1"/>
  <c r="M207" i="1"/>
  <c r="O206" i="1"/>
  <c r="N206" i="1" a="1"/>
  <c r="M206" i="1"/>
  <c r="O205" i="1"/>
  <c r="N205" i="1" a="1"/>
  <c r="M205" i="1"/>
  <c r="O204" i="1"/>
  <c r="N204" i="1" a="1"/>
  <c r="M204" i="1"/>
  <c r="O203" i="1"/>
  <c r="N203" i="1" a="1"/>
  <c r="M203" i="1"/>
  <c r="O202" i="1"/>
  <c r="N202" i="1" a="1"/>
  <c r="M202" i="1"/>
  <c r="O201" i="1"/>
  <c r="N201" i="1" a="1"/>
  <c r="M201" i="1"/>
  <c r="O200" i="1"/>
  <c r="N200" i="1" a="1"/>
  <c r="M200" i="1"/>
  <c r="O199" i="1"/>
  <c r="N199" i="1" a="1"/>
  <c r="M199" i="1"/>
  <c r="O198" i="1"/>
  <c r="N198" i="1" a="1"/>
  <c r="M198" i="1"/>
  <c r="O197" i="1"/>
  <c r="N197" i="1" a="1"/>
  <c r="M197" i="1"/>
  <c r="O196" i="1"/>
  <c r="N196" i="1" a="1"/>
  <c r="M196" i="1"/>
  <c r="O195" i="1"/>
  <c r="N195" i="1" a="1"/>
  <c r="M195" i="1"/>
  <c r="O194" i="1"/>
  <c r="N194" i="1" a="1"/>
  <c r="M194" i="1"/>
  <c r="O193" i="1"/>
  <c r="N193" i="1" a="1"/>
  <c r="M193" i="1"/>
  <c r="O192" i="1"/>
  <c r="N192" i="1" a="1"/>
  <c r="M192" i="1"/>
  <c r="O191" i="1"/>
  <c r="N191" i="1" a="1"/>
  <c r="M191" i="1"/>
  <c r="O190" i="1"/>
  <c r="N190" i="1" a="1"/>
  <c r="M190" i="1"/>
  <c r="O189" i="1"/>
  <c r="N189" i="1" a="1"/>
  <c r="M189" i="1"/>
  <c r="O188" i="1"/>
  <c r="N188" i="1" a="1"/>
  <c r="M188" i="1"/>
  <c r="O187" i="1"/>
  <c r="N187" i="1" a="1"/>
  <c r="M187" i="1"/>
  <c r="O186" i="1"/>
  <c r="N186" i="1" a="1"/>
  <c r="M186" i="1"/>
  <c r="O185" i="1"/>
  <c r="N185" i="1" a="1"/>
  <c r="M185" i="1"/>
  <c r="O184" i="1"/>
  <c r="N184" i="1" a="1"/>
  <c r="M184" i="1"/>
  <c r="O183" i="1"/>
  <c r="N183" i="1" a="1"/>
  <c r="M183" i="1"/>
  <c r="O182" i="1"/>
  <c r="N182" i="1" a="1"/>
  <c r="M182" i="1"/>
  <c r="O181" i="1"/>
  <c r="N181" i="1" a="1"/>
  <c r="M181" i="1"/>
  <c r="O180" i="1"/>
  <c r="N180" i="1" a="1"/>
  <c r="M180" i="1"/>
  <c r="O179" i="1"/>
  <c r="N179" i="1" a="1"/>
  <c r="M179" i="1"/>
  <c r="O178" i="1"/>
  <c r="N178" i="1" a="1"/>
  <c r="M178" i="1"/>
  <c r="O177" i="1"/>
  <c r="N177" i="1" a="1"/>
  <c r="M177" i="1"/>
  <c r="O176" i="1"/>
  <c r="N176" i="1" a="1"/>
  <c r="M176" i="1"/>
  <c r="O175" i="1"/>
  <c r="N175" i="1" a="1"/>
  <c r="M175" i="1"/>
  <c r="O174" i="1"/>
  <c r="N174" i="1" a="1"/>
  <c r="M174" i="1"/>
  <c r="O173" i="1"/>
  <c r="N173" i="1" a="1"/>
  <c r="M173" i="1"/>
  <c r="O172" i="1"/>
  <c r="N172" i="1" a="1"/>
  <c r="M172" i="1"/>
  <c r="O171" i="1"/>
  <c r="N171" i="1" a="1"/>
  <c r="M171" i="1"/>
  <c r="O170" i="1"/>
  <c r="N170" i="1" a="1"/>
  <c r="M170" i="1"/>
  <c r="O169" i="1"/>
  <c r="N169" i="1" a="1"/>
  <c r="M169" i="1"/>
  <c r="O168" i="1"/>
  <c r="N168" i="1" a="1"/>
  <c r="M168" i="1"/>
  <c r="O167" i="1"/>
  <c r="N167" i="1" a="1"/>
  <c r="M167" i="1"/>
  <c r="O166" i="1"/>
  <c r="N166" i="1" a="1"/>
  <c r="M166" i="1"/>
  <c r="O165" i="1"/>
  <c r="N165" i="1" a="1"/>
  <c r="M165" i="1"/>
  <c r="O164" i="1"/>
  <c r="N164" i="1" a="1"/>
  <c r="M164" i="1"/>
  <c r="O163" i="1"/>
  <c r="N163" i="1" a="1"/>
  <c r="M163" i="1"/>
  <c r="O162" i="1"/>
  <c r="N162" i="1" a="1"/>
  <c r="M162" i="1"/>
  <c r="O161" i="1"/>
  <c r="N161" i="1" a="1"/>
  <c r="M161" i="1"/>
  <c r="O160" i="1"/>
  <c r="N160" i="1" a="1"/>
  <c r="M160" i="1"/>
  <c r="O159" i="1"/>
  <c r="N159" i="1" a="1"/>
  <c r="M159" i="1"/>
  <c r="O158" i="1"/>
  <c r="N158" i="1" a="1"/>
  <c r="M158" i="1"/>
  <c r="O157" i="1"/>
  <c r="N157" i="1" a="1"/>
  <c r="M157" i="1"/>
  <c r="O156" i="1"/>
  <c r="N156" i="1" a="1"/>
  <c r="M156" i="1"/>
  <c r="O155" i="1"/>
  <c r="N155" i="1" a="1"/>
  <c r="M155" i="1"/>
  <c r="O154" i="1"/>
  <c r="N154" i="1" a="1"/>
  <c r="M154" i="1"/>
  <c r="O153" i="1"/>
  <c r="N153" i="1" a="1"/>
  <c r="M153" i="1"/>
  <c r="O152" i="1"/>
  <c r="N152" i="1" a="1"/>
  <c r="M152" i="1"/>
  <c r="O151" i="1"/>
  <c r="N151" i="1" a="1"/>
  <c r="M151" i="1"/>
  <c r="O150" i="1"/>
  <c r="N150" i="1" a="1"/>
  <c r="M150" i="1"/>
  <c r="O149" i="1"/>
  <c r="N149" i="1" a="1"/>
  <c r="M149" i="1"/>
  <c r="O148" i="1"/>
  <c r="N148" i="1" a="1"/>
  <c r="M148" i="1"/>
  <c r="O147" i="1"/>
  <c r="N147" i="1" a="1"/>
  <c r="M147" i="1"/>
  <c r="O146" i="1"/>
  <c r="N146" i="1" a="1"/>
  <c r="M146" i="1"/>
  <c r="O145" i="1"/>
  <c r="N145" i="1" a="1"/>
  <c r="M145" i="1"/>
  <c r="O144" i="1"/>
  <c r="N144" i="1" a="1"/>
  <c r="M144" i="1"/>
  <c r="O143" i="1"/>
  <c r="N143" i="1" a="1"/>
  <c r="M143" i="1"/>
  <c r="O142" i="1"/>
  <c r="N142" i="1" a="1"/>
  <c r="M142" i="1"/>
  <c r="O141" i="1"/>
  <c r="N141" i="1" a="1"/>
  <c r="M141" i="1"/>
  <c r="O140" i="1"/>
  <c r="N140" i="1" a="1"/>
  <c r="M140" i="1"/>
  <c r="O139" i="1"/>
  <c r="N139" i="1" a="1"/>
  <c r="M139" i="1"/>
  <c r="O138" i="1"/>
  <c r="N138" i="1" a="1"/>
  <c r="M138" i="1"/>
  <c r="O137" i="1"/>
  <c r="N137" i="1" a="1"/>
  <c r="M137" i="1"/>
  <c r="O136" i="1"/>
  <c r="N136" i="1" a="1"/>
  <c r="M136" i="1"/>
  <c r="O135" i="1"/>
  <c r="N135" i="1" a="1"/>
  <c r="M135" i="1"/>
  <c r="O134" i="1"/>
  <c r="N134" i="1" a="1"/>
  <c r="M134" i="1"/>
  <c r="O133" i="1"/>
  <c r="N133" i="1" a="1"/>
  <c r="M133" i="1"/>
  <c r="O132" i="1"/>
  <c r="N132" i="1" a="1"/>
  <c r="M132" i="1"/>
  <c r="O131" i="1"/>
  <c r="N131" i="1" a="1"/>
  <c r="M131" i="1"/>
  <c r="O130" i="1"/>
  <c r="N130" i="1" a="1"/>
  <c r="M130" i="1"/>
  <c r="O129" i="1"/>
  <c r="N129" i="1" a="1"/>
  <c r="M129" i="1"/>
  <c r="O128" i="1"/>
  <c r="N128" i="1" a="1"/>
  <c r="M128" i="1"/>
  <c r="O127" i="1"/>
  <c r="N127" i="1" a="1"/>
  <c r="M127" i="1"/>
  <c r="O126" i="1"/>
  <c r="N126" i="1" a="1"/>
  <c r="M126" i="1"/>
  <c r="O125" i="1"/>
  <c r="N125" i="1" a="1"/>
  <c r="M125" i="1"/>
  <c r="O124" i="1"/>
  <c r="N124" i="1" a="1"/>
  <c r="M124" i="1"/>
  <c r="O123" i="1"/>
  <c r="N123" i="1" a="1"/>
  <c r="M123" i="1"/>
  <c r="O122" i="1"/>
  <c r="N122" i="1" a="1"/>
  <c r="M122" i="1"/>
  <c r="O121" i="1"/>
  <c r="N121" i="1" a="1"/>
  <c r="M121" i="1"/>
  <c r="O120" i="1"/>
  <c r="N120" i="1" a="1"/>
  <c r="M120" i="1"/>
  <c r="O119" i="1"/>
  <c r="N119" i="1" a="1"/>
  <c r="M119" i="1"/>
  <c r="O118" i="1"/>
  <c r="N118" i="1" a="1"/>
  <c r="M118" i="1"/>
  <c r="O117" i="1"/>
  <c r="N117" i="1" a="1"/>
  <c r="M117" i="1"/>
  <c r="O116" i="1"/>
  <c r="N116" i="1" a="1"/>
  <c r="M116" i="1"/>
  <c r="O115" i="1"/>
  <c r="N115" i="1" a="1"/>
  <c r="M115" i="1"/>
  <c r="O114" i="1"/>
  <c r="N114" i="1" a="1"/>
  <c r="M114" i="1"/>
  <c r="O113" i="1"/>
  <c r="N113" i="1" a="1"/>
  <c r="M113" i="1"/>
  <c r="O112" i="1"/>
  <c r="N112" i="1" a="1"/>
  <c r="M112" i="1"/>
  <c r="O111" i="1"/>
  <c r="N111" i="1" a="1"/>
  <c r="M111" i="1"/>
  <c r="O110" i="1"/>
  <c r="N110" i="1" a="1"/>
  <c r="M110" i="1"/>
  <c r="O109" i="1"/>
  <c r="N109" i="1" a="1"/>
  <c r="M109" i="1"/>
  <c r="O108" i="1"/>
  <c r="N108" i="1" a="1"/>
  <c r="M108" i="1"/>
  <c r="O107" i="1"/>
  <c r="N107" i="1" a="1"/>
  <c r="M107" i="1"/>
  <c r="O106" i="1"/>
  <c r="N106" i="1" a="1"/>
  <c r="M106" i="1"/>
  <c r="O105" i="1"/>
  <c r="N105" i="1" a="1"/>
  <c r="M105" i="1"/>
  <c r="O104" i="1"/>
  <c r="N104" i="1" a="1"/>
  <c r="M104" i="1"/>
  <c r="O103" i="1"/>
  <c r="N103" i="1" a="1"/>
  <c r="M103" i="1"/>
  <c r="O102" i="1"/>
  <c r="N102" i="1" a="1"/>
  <c r="M102" i="1"/>
  <c r="O101" i="1"/>
  <c r="N101" i="1" a="1"/>
  <c r="M101" i="1"/>
  <c r="O100" i="1"/>
  <c r="N100" i="1" a="1"/>
  <c r="M100" i="1"/>
  <c r="O99" i="1"/>
  <c r="N99" i="1" a="1"/>
  <c r="M99" i="1"/>
  <c r="O98" i="1"/>
  <c r="N98" i="1" a="1"/>
  <c r="M98" i="1"/>
  <c r="O97" i="1"/>
  <c r="N97" i="1" a="1"/>
  <c r="M97" i="1"/>
  <c r="O96" i="1"/>
  <c r="N96" i="1" a="1"/>
  <c r="M96" i="1"/>
  <c r="O95" i="1"/>
  <c r="N95" i="1" a="1"/>
  <c r="M95" i="1"/>
  <c r="O94" i="1"/>
  <c r="N94" i="1" a="1"/>
  <c r="M94" i="1"/>
  <c r="O93" i="1"/>
  <c r="N93" i="1" a="1"/>
  <c r="M93" i="1"/>
  <c r="O92" i="1"/>
  <c r="N92" i="1" a="1"/>
  <c r="M92" i="1"/>
  <c r="O91" i="1"/>
  <c r="N91" i="1" a="1"/>
  <c r="M91" i="1"/>
  <c r="O90" i="1"/>
  <c r="N90" i="1" a="1"/>
  <c r="M90" i="1"/>
  <c r="O89" i="1"/>
  <c r="N89" i="1" a="1"/>
  <c r="M89" i="1"/>
  <c r="O88" i="1"/>
  <c r="N88" i="1" a="1"/>
  <c r="M88" i="1"/>
  <c r="O87" i="1"/>
  <c r="N87" i="1" a="1"/>
  <c r="M87" i="1"/>
  <c r="O86" i="1"/>
  <c r="N86" i="1" a="1"/>
  <c r="M86" i="1"/>
  <c r="O85" i="1"/>
  <c r="N85" i="1" a="1"/>
  <c r="M85" i="1"/>
  <c r="O84" i="1"/>
  <c r="N84" i="1" a="1"/>
  <c r="M84" i="1"/>
  <c r="O83" i="1"/>
  <c r="N83" i="1" a="1"/>
  <c r="M83" i="1"/>
  <c r="O82" i="1"/>
  <c r="N82" i="1" a="1"/>
  <c r="M82" i="1"/>
  <c r="O81" i="1"/>
  <c r="N81" i="1" a="1"/>
  <c r="M81" i="1"/>
  <c r="O80" i="1"/>
  <c r="N80" i="1" a="1"/>
  <c r="M80" i="1"/>
  <c r="O79" i="1"/>
  <c r="N79" i="1" a="1"/>
  <c r="M79" i="1"/>
  <c r="O78" i="1"/>
  <c r="N78" i="1" a="1"/>
  <c r="M78" i="1"/>
  <c r="O77" i="1"/>
  <c r="N77" i="1" a="1"/>
  <c r="M77" i="1"/>
  <c r="O76" i="1"/>
  <c r="N76" i="1" a="1"/>
  <c r="M76" i="1"/>
  <c r="O75" i="1"/>
  <c r="N75" i="1" a="1"/>
  <c r="M75" i="1"/>
  <c r="O74" i="1"/>
  <c r="N74" i="1" a="1"/>
  <c r="M74" i="1"/>
  <c r="O73" i="1"/>
  <c r="N73" i="1" a="1"/>
  <c r="M73" i="1"/>
  <c r="O72" i="1"/>
  <c r="N72" i="1" a="1"/>
  <c r="M72" i="1"/>
  <c r="O71" i="1"/>
  <c r="N71" i="1" a="1"/>
  <c r="M71" i="1"/>
  <c r="O70" i="1"/>
  <c r="N70" i="1" a="1"/>
  <c r="M70" i="1"/>
  <c r="O69" i="1"/>
  <c r="N69" i="1" a="1"/>
  <c r="M69" i="1"/>
  <c r="O68" i="1"/>
  <c r="N68" i="1" a="1"/>
  <c r="M68" i="1"/>
  <c r="O67" i="1"/>
  <c r="N67" i="1" a="1"/>
  <c r="M67" i="1"/>
  <c r="O66" i="1"/>
  <c r="N66" i="1" a="1"/>
  <c r="M66" i="1"/>
  <c r="O65" i="1"/>
  <c r="N65" i="1" a="1"/>
  <c r="M65" i="1"/>
  <c r="O64" i="1"/>
  <c r="N64" i="1" a="1"/>
  <c r="M64" i="1"/>
  <c r="O63" i="1"/>
  <c r="N63" i="1" a="1"/>
  <c r="M63" i="1"/>
  <c r="O62" i="1"/>
  <c r="N62" i="1" a="1"/>
  <c r="M62" i="1"/>
  <c r="O61" i="1"/>
  <c r="N61" i="1" a="1"/>
  <c r="M61" i="1"/>
  <c r="O60" i="1"/>
  <c r="N60" i="1" a="1"/>
  <c r="M60" i="1"/>
  <c r="O59" i="1"/>
  <c r="N59" i="1" a="1"/>
  <c r="M59" i="1"/>
  <c r="O58" i="1"/>
  <c r="N58" i="1" a="1"/>
  <c r="M58" i="1"/>
  <c r="O57" i="1"/>
  <c r="N57" i="1" a="1"/>
  <c r="M57" i="1"/>
  <c r="O56" i="1"/>
  <c r="N56" i="1" a="1"/>
  <c r="M56" i="1"/>
  <c r="O55" i="1"/>
  <c r="N55" i="1" a="1"/>
  <c r="M55" i="1"/>
  <c r="O54" i="1"/>
  <c r="N54" i="1" a="1"/>
  <c r="M54" i="1"/>
  <c r="O53" i="1"/>
  <c r="N53" i="1" a="1"/>
  <c r="M53" i="1"/>
  <c r="O52" i="1"/>
  <c r="N52" i="1" a="1"/>
  <c r="M52" i="1"/>
  <c r="O51" i="1"/>
  <c r="N51" i="1" a="1"/>
  <c r="M51" i="1"/>
  <c r="O50" i="1"/>
  <c r="N50" i="1" a="1"/>
  <c r="M50" i="1"/>
  <c r="O49" i="1"/>
  <c r="N49" i="1" a="1"/>
  <c r="M49" i="1"/>
  <c r="O48" i="1"/>
  <c r="N48" i="1" a="1"/>
  <c r="M48" i="1"/>
  <c r="O47" i="1"/>
  <c r="N47" i="1" a="1"/>
  <c r="M47" i="1"/>
  <c r="O46" i="1"/>
  <c r="N46" i="1" a="1"/>
  <c r="M46" i="1"/>
  <c r="O45" i="1"/>
  <c r="N45" i="1" a="1"/>
  <c r="M45" i="1"/>
  <c r="O44" i="1"/>
  <c r="N44" i="1" a="1"/>
  <c r="M44" i="1"/>
  <c r="O43" i="1"/>
  <c r="N43" i="1" a="1"/>
  <c r="M43" i="1"/>
  <c r="O42" i="1"/>
  <c r="N42" i="1" a="1"/>
  <c r="M42" i="1"/>
  <c r="O41" i="1"/>
  <c r="N41" i="1" a="1"/>
  <c r="M41" i="1"/>
  <c r="O40" i="1"/>
  <c r="N40" i="1" a="1"/>
  <c r="M40" i="1"/>
  <c r="O39" i="1"/>
  <c r="N39" i="1" a="1"/>
  <c r="M39" i="1"/>
  <c r="O38" i="1"/>
  <c r="N38" i="1" a="1"/>
  <c r="M38" i="1"/>
  <c r="O37" i="1"/>
  <c r="N37" i="1" a="1"/>
  <c r="M37" i="1"/>
  <c r="O36" i="1"/>
  <c r="N36" i="1" a="1"/>
  <c r="M36" i="1"/>
  <c r="O35" i="1"/>
  <c r="N35" i="1" a="1"/>
  <c r="M35" i="1"/>
  <c r="O34" i="1"/>
  <c r="N34" i="1" a="1"/>
  <c r="M34" i="1"/>
  <c r="O33" i="1"/>
  <c r="N33" i="1" a="1"/>
  <c r="M33" i="1"/>
  <c r="O32" i="1"/>
  <c r="N32" i="1" a="1"/>
  <c r="M32" i="1"/>
  <c r="O31" i="1"/>
  <c r="N31" i="1" a="1"/>
  <c r="M31" i="1"/>
  <c r="O30" i="1"/>
  <c r="N30" i="1" a="1"/>
  <c r="M30" i="1"/>
  <c r="O29" i="1"/>
  <c r="N29" i="1" a="1"/>
  <c r="M29" i="1"/>
  <c r="O28" i="1"/>
  <c r="N28" i="1" a="1"/>
  <c r="M28" i="1"/>
  <c r="O27" i="1"/>
  <c r="N27" i="1" a="1"/>
  <c r="M27" i="1"/>
  <c r="O26" i="1"/>
  <c r="N26" i="1" a="1"/>
  <c r="M26" i="1"/>
  <c r="O25" i="1"/>
  <c r="N25" i="1" a="1"/>
  <c r="M25" i="1"/>
  <c r="O24" i="1"/>
  <c r="N24" i="1" a="1"/>
  <c r="M24" i="1"/>
  <c r="O23" i="1"/>
  <c r="N23" i="1" a="1"/>
  <c r="M23" i="1"/>
  <c r="O22" i="1"/>
  <c r="N22" i="1" a="1"/>
  <c r="M22" i="1"/>
  <c r="O21" i="1"/>
  <c r="N21" i="1" a="1"/>
  <c r="M21" i="1"/>
  <c r="O20" i="1"/>
  <c r="N20" i="1" a="1"/>
  <c r="M20" i="1"/>
  <c r="O19" i="1"/>
  <c r="N19" i="1" a="1"/>
  <c r="M19" i="1"/>
  <c r="O18" i="1"/>
  <c r="N18" i="1" a="1"/>
  <c r="M18" i="1"/>
  <c r="O17" i="1"/>
  <c r="N17" i="1" a="1"/>
  <c r="M17" i="1"/>
  <c r="O16" i="1"/>
  <c r="N16" i="1" a="1"/>
  <c r="M16" i="1"/>
  <c r="O15" i="1"/>
  <c r="N15" i="1" a="1"/>
  <c r="M15" i="1"/>
  <c r="O14" i="1"/>
  <c r="N14" i="1" a="1"/>
  <c r="M14" i="1"/>
  <c r="O13" i="1"/>
  <c r="N13" i="1" a="1"/>
  <c r="M13" i="1"/>
  <c r="O12" i="1"/>
  <c r="N12" i="1" a="1"/>
  <c r="M12" i="1"/>
  <c r="O11" i="1"/>
  <c r="N11" i="1" a="1"/>
  <c r="M11" i="1"/>
  <c r="O10" i="1"/>
  <c r="N10" i="1" a="1"/>
  <c r="M10" i="1"/>
  <c r="O9" i="1"/>
  <c r="N9" i="1" a="1"/>
  <c r="M9" i="1"/>
  <c r="O8" i="1"/>
  <c r="N8" i="1" a="1"/>
  <c r="M8" i="1"/>
  <c r="O7" i="1"/>
  <c r="N7" i="1" a="1"/>
  <c r="M7" i="1"/>
  <c r="O6" i="1"/>
  <c r="N6" i="1" a="1"/>
  <c r="M6" i="1"/>
  <c r="O5" i="1"/>
  <c r="N5" i="1" a="1"/>
  <c r="M5" i="1"/>
  <c r="O4" i="1"/>
  <c r="N4" i="1" a="1"/>
  <c r="M4" i="1"/>
  <c r="O3" i="1"/>
  <c r="N3" i="1" a="1"/>
  <c r="M3" i="1"/>
  <c r="O2" i="1"/>
  <c r="N2" i="1" a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<sst xmlns="http://schemas.openxmlformats.org/spreadsheetml/2006/main" count="5552" uniqueCount="1529">
  <si>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</si>
  <si>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</si>
  <si>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</si>
  <si>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</si>
  <si>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</si>
  <si>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</si>
  <si>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</si>
  <si>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</si>
  <si>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</si>
  <si>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</si>
  <si>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</si>
  <si>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</si>
  <si>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SALARY Status</t>
  </si>
  <si>
    <t>Salary Status1</t>
  </si>
  <si>
    <t>Salary Status2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</si>
  <si>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</si>
  <si>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</si>
  <si>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</si>
  <si>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</si>
  <si>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</si>
  <si>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</si>
  <si>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</si>
  <si>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</si>
  <si>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</si>
  <si>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</si>
  <si>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</si>
  <si>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</si>
  <si>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</si>
  <si>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</si>
  <si>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</si>
  <si>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</si>
  <si>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</si>
  <si>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</si>
  <si>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</si>
  <si>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</si>
  <si>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</si>
  <si>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</si>
  <si>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</si>
  <si>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</si>
  <si>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</si>
  <si>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</si>
  <si>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</si>
  <si>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</si>
  <si>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</si>
  <si>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</si>
  <si>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</si>
  <si>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</si>
  <si>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</si>
  <si>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</si>
  <si>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</si>
  <si>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</si>
  <si>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</si>
  <si>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</si>
  <si>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</si>
  <si>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</si>
  <si>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</si>
  <si>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</si>
  <si>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</si>
  <si>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</si>
  <si>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</si>
  <si>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</si>
  <si>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</si>
  <si>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</si>
  <si>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</si>
  <si>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</si>
  <si>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</si>
  <si>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</si>
  <si>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</si>
  <si>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</si>
  <si>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</si>
  <si>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</si>
  <si>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</si>
  <si>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</si>
  <si>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</si>
  <si>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</si>
  <si>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</si>
  <si>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</si>
  <si>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</si>
  <si>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</si>
  <si>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</si>
  <si>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</si>
  <si>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</si>
  <si>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</si>
  <si>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</si>
  <si>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</si>
  <si>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</si>
  <si>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</si>
  <si>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</si>
  <si>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</si>
  <si>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</si>
  <si>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</si>
  <si>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</si>
  <si>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</si>
  <si>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</si>
  <si>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</si>
  <si>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</si>
  <si>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</si>
  <si>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</si>
  <si>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</si>
  <si>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</si>
  <si>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</si>
  <si>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</si>
  <si>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</si>
  <si>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</si>
  <si>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</si>
  <si>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</si>
  <si>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</si>
  <si>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</si>
  <si>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</si>
  <si>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</si>
  <si>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</si>
  <si>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</si>
  <si>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</si>
  <si>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</si>
  <si>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</si>
  <si>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</si>
  <si>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</si>
  <si>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</si>
  <si>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</si>
  <si>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</si>
  <si>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</si>
  <si>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</si>
  <si>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</si>
  <si>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</si>
  <si>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</si>
  <si>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</si>
  <si>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</si>
  <si>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</si>
  <si>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</si>
  <si>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</si>
  <si>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</si>
  <si>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</si>
  <si>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</si>
  <si>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</si>
  <si>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</si>
  <si>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</si>
  <si>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</si>
  <si>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</si>
  <si>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</si>
  <si>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</si>
  <si>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</si>
  <si>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</si>
  <si>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</si>
  <si>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</si>
  <si>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</si>
  <si>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</si>
  <si>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</si>
  <si>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</si>
  <si>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</si>
  <si>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</si>
  <si>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</si>
  <si>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</si>
  <si>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</si>
  <si>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</si>
  <si>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</si>
  <si>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</si>
  <si>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</si>
  <si>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</si>
  <si>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</si>
  <si>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</si>
  <si>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</si>
  <si>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</si>
  <si>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</si>
  <si>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</si>
  <si>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</si>
  <si>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</si>
  <si>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</si>
  <si>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</si>
  <si>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</si>
  <si>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</si>
  <si>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</si>
  <si>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</si>
  <si>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</si>
  <si>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</si>
  <si>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</si>
  <si>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</si>
  <si>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</si>
  <si>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</si>
  <si>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</si>
  <si>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</si>
  <si>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</si>
  <si>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</si>
  <si>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</si>
  <si>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</si>
  <si>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</si>
  <si>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</si>
  <si>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</si>
  <si>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</si>
  <si>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</si>
  <si>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</si>
  <si>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</si>
  <si>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</si>
  <si>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</si>
  <si>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</si>
  <si>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</si>
  <si>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</si>
  <si>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</si>
  <si>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</si>
  <si>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</si>
  <si>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</si>
  <si>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</si>
  <si>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</si>
  <si>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</si>
  <si>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</si>
  <si>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</si>
  <si>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</si>
  <si>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</si>
  <si>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</si>
  <si>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</si>
  <si>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</si>
  <si>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</si>
  <si>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</si>
  <si>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</si>
  <si>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</si>
  <si>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</si>
  <si>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</si>
  <si>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</si>
  <si>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</si>
  <si>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</si>
  <si>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</si>
  <si>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</si>
  <si>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</si>
  <si>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</si>
  <si>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</si>
  <si>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</si>
  <si>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</si>
  <si>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</si>
  <si>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</si>
  <si>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</si>
  <si>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</si>
  <si>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</si>
  <si>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</si>
  <si>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</si>
  <si>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</si>
  <si>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</si>
  <si>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</si>
  <si>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</si>
  <si>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</si>
  <si>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</si>
  <si>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</si>
  <si>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</si>
  <si>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</si>
  <si>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</si>
  <si>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</si>
  <si>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</si>
  <si>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</si>
  <si>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</si>
  <si>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</si>
  <si>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</si>
  <si>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</si>
  <si>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</si>
  <si>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</si>
  <si>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</si>
  <si>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</si>
  <si>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</si>
  <si>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</si>
  <si>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</si>
  <si>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</si>
  <si>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</si>
  <si>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</si>
  <si>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</si>
  <si>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</si>
  <si>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</si>
  <si>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</si>
  <si>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</si>
  <si>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</si>
  <si>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</si>
  <si>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</si>
  <si>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</si>
  <si>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</si>
  <si>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</si>
  <si>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</si>
  <si>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</si>
  <si>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</si>
  <si>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</si>
  <si>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</si>
  <si>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</si>
  <si>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</si>
  <si>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</si>
  <si>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</si>
  <si>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</si>
  <si>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</si>
  <si>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</si>
  <si>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</si>
  <si>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</si>
  <si>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</si>
  <si>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</si>
  <si>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</si>
  <si>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</si>
  <si>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</si>
  <si>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</si>
  <si>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</si>
  <si>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</si>
  <si>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</si>
  <si>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</si>
  <si>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</si>
  <si>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</si>
  <si>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</si>
  <si>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</si>
  <si>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</si>
  <si>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</si>
  <si>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</si>
  <si>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</si>
  <si>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</si>
  <si>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</si>
  <si>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</si>
  <si>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</si>
  <si>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</si>
  <si>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</si>
  <si>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</si>
  <si>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</si>
  <si>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</si>
  <si>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</si>
  <si>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</si>
  <si>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</si>
  <si>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</si>
  <si>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</si>
  <si>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</si>
  <si>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</si>
  <si>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</si>
  <si>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</si>
  <si>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</si>
  <si>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</si>
  <si>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</si>
  <si>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</si>
  <si>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</si>
  <si>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</si>
  <si>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</si>
  <si>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</si>
  <si>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</si>
  <si>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</si>
  <si>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</si>
  <si>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</si>
  <si>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</si>
  <si>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</si>
  <si>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</si>
  <si>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</si>
  <si>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</si>
  <si>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</si>
  <si>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</si>
  <si>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</si>
  <si>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</si>
  <si>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</si>
  <si>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</si>
  <si>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</si>
  <si>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</si>
  <si>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</si>
  <si>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</si>
  <si>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</si>
  <si>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</si>
  <si>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</si>
  <si>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</si>
  <si>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</si>
  <si>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</si>
  <si>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</si>
  <si>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</si>
  <si>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</si>
  <si>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</si>
  <si>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</si>
  <si>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</si>
  <si>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</si>
  <si>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</si>
  <si>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</si>
  <si>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</si>
  <si>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</si>
  <si>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</si>
  <si>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</si>
  <si>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</si>
  <si>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</si>
  <si>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</si>
  <si>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</si>
  <si>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</si>
  <si>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</si>
  <si>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</si>
  <si>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</si>
  <si>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</si>
  <si>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</si>
  <si>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</si>
  <si>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</si>
  <si>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</si>
  <si>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</si>
  <si>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</si>
  <si>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</si>
  <si>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</si>
  <si>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</si>
  <si>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</si>
  <si>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</si>
  <si>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</si>
  <si>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</si>
  <si>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</si>
  <si>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</si>
  <si>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</si>
  <si>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</si>
  <si>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</si>
  <si>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</si>
  <si>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</si>
  <si>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</si>
  <si>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</si>
  <si>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</si>
  <si>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</si>
  <si>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</si>
  <si>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</si>
  <si>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</si>
  <si>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</si>
  <si>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</si>
  <si>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</si>
  <si>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</si>
  <si>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</si>
  <si>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</si>
  <si>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</si>
  <si>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</si>
  <si>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</si>
  <si>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</si>
  <si>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</si>
  <si>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</si>
  <si>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</si>
  <si>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</si>
  <si>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</si>
  <si>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</si>
  <si>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</si>
  <si>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</si>
  <si>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</si>
  <si>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</si>
  <si>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</si>
  <si>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</si>
  <si>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</si>
  <si>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</si>
  <si>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</si>
  <si>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</si>
  <si>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</si>
  <si>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</si>
  <si>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</si>
  <si>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</si>
  <si>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</si>
  <si>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</si>
  <si>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</si>
  <si>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</si>
  <si>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</si>
  <si>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</si>
  <si>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</si>
  <si>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</si>
  <si>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</si>
  <si>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</si>
  <si>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</si>
  <si>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</si>
  <si>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</si>
  <si>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</si>
  <si>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</si>
  <si>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</si>
  <si>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</si>
  <si>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</si>
  <si>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</si>
  <si>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</si>
  <si>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</si>
  <si>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</si>
  <si>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</si>
  <si>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</si>
  <si>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</si>
  <si>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</si>
  <si>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</si>
  <si>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</si>
  <si>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</si>
  <si>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</si>
  <si>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</si>
  <si>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</si>
  <si>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</si>
  <si>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</si>
  <si>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</si>
  <si>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</si>
  <si>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</si>
  <si>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</si>
  <si>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</si>
  <si>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</si>
  <si>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</si>
  <si>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</si>
  <si>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</si>
  <si>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</si>
  <si>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</si>
  <si>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</si>
  <si>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</si>
  <si>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</si>
  <si>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</si>
  <si>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</si>
  <si>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</si>
  <si>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</si>
  <si>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</si>
  <si>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</si>
  <si>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</si>
  <si>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</si>
  <si>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</si>
  <si>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</si>
  <si>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</si>
  <si>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</si>
  <si>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</si>
  <si>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</si>
  <si>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</si>
  <si>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</si>
  <si>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</si>
  <si>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</si>
  <si>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</si>
  <si>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</si>
  <si>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</si>
  <si>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</si>
  <si>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</si>
  <si>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</si>
  <si>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</si>
  <si>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</si>
  <si>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</si>
  <si>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</si>
  <si>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</si>
  <si>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</si>
  <si>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</si>
  <si>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</si>
  <si>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</si>
  <si>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</si>
  <si>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</si>
  <si>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</si>
  <si>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</si>
  <si>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</si>
  <si>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</si>
  <si>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</si>
  <si>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</si>
  <si>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</si>
  <si>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</si>
  <si>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</si>
  <si>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</si>
  <si>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</si>
  <si>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</si>
  <si>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</si>
  <si>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</si>
  <si>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</si>
  <si>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</si>
  <si>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</si>
  <si>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</si>
  <si>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</si>
  <si>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</si>
  <si>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</si>
  <si>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</si>
  <si>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</si>
  <si>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</si>
  <si>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</si>
  <si>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</si>
  <si>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</si>
  <si>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</si>
  <si>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</si>
  <si>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</si>
  <si>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</si>
  <si>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</si>
  <si>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</si>
  <si>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</si>
  <si>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</si>
  <si>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</si>
  <si>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</si>
  <si>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</si>
  <si>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</si>
  <si>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</si>
  <si>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</si>
  <si>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</si>
  <si>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</si>
  <si>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</si>
  <si>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</si>
  <si>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</si>
  <si>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</si>
  <si>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</si>
  <si>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</si>
  <si>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</si>
  <si>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</si>
  <si>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</si>
  <si>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</si>
  <si>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</si>
  <si>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</si>
  <si>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</si>
  <si>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</si>
  <si>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</si>
  <si>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</si>
  <si>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</si>
  <si>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</si>
  <si>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</si>
  <si>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</si>
  <si>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</si>
  <si>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</si>
  <si>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</si>
  <si>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</si>
  <si>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</si>
  <si>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</si>
  <si>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</si>
  <si>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</si>
  <si>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</si>
  <si>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</si>
  <si>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</si>
  <si>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</si>
  <si>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</si>
  <si>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</si>
  <si>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</si>
  <si>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</si>
  <si>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</si>
  <si>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</si>
  <si>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</si>
  <si>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</si>
  <si>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</si>
  <si>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</si>
  <si>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</si>
  <si>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</si>
  <si>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</si>
  <si>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</si>
  <si>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</si>
  <si>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</si>
  <si>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</si>
  <si>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</si>
  <si>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</si>
  <si>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</si>
  <si>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</si>
  <si>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</si>
  <si>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</si>
  <si>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</si>
  <si>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</si>
  <si>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</si>
  <si>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</si>
  <si>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</si>
  <si>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</si>
  <si>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</si>
  <si>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</si>
  <si>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</si>
  <si>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</si>
  <si>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</si>
  <si>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</si>
  <si>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</si>
  <si>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</si>
  <si>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</si>
  <si>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</si>
  <si>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</si>
  <si>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</si>
  <si>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</si>
  <si>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</si>
  <si>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</si>
  <si>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</si>
  <si>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</si>
  <si>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</si>
  <si>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</si>
  <si>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</si>
  <si>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</si>
  <si>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</si>
  <si>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</si>
  <si>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</si>
  <si>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</si>
  <si>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</si>
  <si>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</si>
  <si>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</si>
  <si>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</si>
  <si>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</si>
  <si>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</si>
  <si>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</si>
  <si>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</si>
  <si>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</si>
  <si>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</si>
  <si>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</si>
  <si>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</si>
  <si>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</si>
  <si>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</si>
  <si>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</si>
  <si>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</si>
  <si>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</si>
  <si>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</si>
  <si>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</si>
  <si>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</si>
  <si>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</si>
  <si>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</si>
  <si>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</si>
  <si>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</si>
  <si>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</si>
  <si>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</si>
  <si>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</si>
  <si>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</si>
  <si>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</si>
  <si>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</si>
  <si>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</si>
  <si>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</si>
  <si>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</si>
  <si>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</si>
  <si>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</si>
  <si>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</si>
  <si>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</si>
  <si>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</si>
  <si>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</si>
  <si>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</si>
  <si>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</si>
  <si>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</si>
  <si>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</si>
  <si>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</si>
  <si>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</si>
  <si>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</si>
  <si>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</si>
  <si>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</si>
  <si>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</si>
  <si>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</si>
  <si>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</si>
  <si>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</si>
  <si>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</si>
  <si>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</si>
  <si>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</si>
  <si>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</si>
  <si>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</si>
  <si>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</si>
  <si>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</si>
  <si>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</si>
  <si>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</si>
  <si>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</si>
  <si>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</si>
  <si>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</si>
  <si>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</si>
  <si>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</si>
  <si>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</si>
  <si>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</si>
  <si>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</si>
  <si>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</si>
  <si>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</si>
  <si>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</si>
  <si>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</si>
  <si>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</si>
  <si>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</si>
  <si>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</si>
  <si>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</si>
  <si>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</si>
  <si>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</si>
  <si>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</si>
  <si>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</si>
  <si>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</si>
  <si>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</si>
  <si>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</si>
  <si>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</si>
  <si>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</si>
  <si>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</si>
  <si>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</si>
  <si>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</si>
  <si>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</si>
  <si>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</si>
  <si>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</si>
  <si>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</si>
  <si>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</si>
  <si>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</si>
  <si>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</si>
  <si>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</si>
  <si>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</si>
  <si>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</si>
  <si>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</si>
  <si>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</si>
  <si>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</si>
  <si>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</si>
  <si>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</si>
  <si>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</si>
  <si>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</si>
  <si>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</si>
  <si>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</si>
  <si>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</si>
  <si>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</si>
  <si>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</si>
  <si>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</si>
  <si>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</si>
  <si>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</si>
  <si>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</si>
  <si>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</si>
  <si>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</si>
  <si>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</si>
  <si>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</si>
  <si>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</si>
  <si>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</si>
  <si>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</si>
  <si>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</si>
  <si>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</si>
  <si>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</si>
  <si>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</si>
  <si>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</si>
  <si>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</si>
  <si>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</si>
  <si>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</si>
  <si>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</si>
  <si>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</si>
  <si>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</si>
  <si>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</si>
  <si>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</si>
  <si>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</si>
  <si>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</si>
  <si>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</si>
  <si>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</si>
  <si>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</si>
  <si>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</si>
  <si>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</si>
  <si>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</si>
  <si>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</si>
  <si>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</si>
  <si>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</si>
  <si>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</si>
  <si>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</si>
  <si>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</si>
  <si>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</si>
  <si>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</si>
  <si>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</si>
  <si>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</si>
  <si>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</si>
  <si>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</si>
  <si>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</si>
  <si>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</si>
  <si>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</si>
  <si>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</si>
  <si>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</si>
  <si>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</si>
  <si>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</si>
  <si>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</si>
  <si>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</si>
  <si>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</si>
  <si>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</si>
  <si>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</si>
  <si>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</si>
  <si>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</si>
  <si>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</si>
  <si>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</si>
  <si>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</si>
  <si>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</si>
  <si>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</si>
  <si>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</si>
  <si>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</si>
  <si>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</si>
  <si>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</si>
  <si>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</si>
  <si>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</si>
  <si>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</si>
  <si>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</si>
  <si>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</si>
  <si>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</si>
  <si>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</si>
  <si>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</si>
  <si>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</si>
  <si>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</si>
  <si>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</si>
  <si>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</si>
  <si>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</si>
  <si>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</si>
  <si>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</si>
  <si>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</si>
  <si>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</si>
  <si>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</si>
  <si>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</si>
  <si>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</si>
  <si>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</si>
  <si>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</si>
  <si>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</si>
  <si>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</si>
  <si>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</si>
  <si>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</si>
  <si>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</si>
  <si>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</si>
  <si>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</si>
  <si>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</si>
  <si>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</si>
  <si>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</si>
  <si>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</si>
  <si>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</si>
  <si>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</si>
  <si>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</si>
  <si>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</si>
  <si>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</si>
  <si>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</si>
  <si>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</si>
  <si>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</si>
  <si>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</si>
  <si>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</si>
  <si>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</si>
  <si>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</si>
  <si>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</si>
  <si>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</si>
  <si>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</si>
  <si>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</si>
  <si>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</si>
  <si>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</si>
  <si>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</si>
  <si>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</si>
  <si>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</si>
  <si>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</si>
  <si>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</si>
  <si>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</si>
  <si>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</si>
  <si>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</si>
  <si>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</si>
  <si>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</si>
  <si>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</si>
  <si>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</si>
  <si>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</si>
  <si>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</si>
  <si>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</si>
  <si>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</si>
  <si>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</si>
  <si>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</si>
  <si>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</si>
  <si>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</si>
  <si>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</si>
  <si>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</si>
  <si>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</si>
  <si>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</si>
  <si>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</si>
  <si>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</si>
  <si>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</si>
  <si>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</si>
  <si>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</si>
  <si>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</si>
  <si>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</si>
  <si>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</si>
  <si>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</si>
  <si>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</si>
  <si>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</si>
  <si>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</si>
  <si>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</si>
  <si>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</si>
  <si>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</si>
  <si>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</si>
  <si>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</si>
  <si>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</si>
  <si>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</si>
  <si>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</si>
  <si>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</si>
  <si>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</si>
  <si>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</si>
  <si>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</si>
  <si>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</si>
  <si>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</si>
  <si>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</si>
  <si>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</si>
  <si>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</si>
  <si>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</si>
  <si>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</si>
  <si>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</si>
  <si>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</si>
  <si>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</si>
  <si>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</si>
  <si>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</si>
  <si>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</si>
  <si>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</si>
  <si>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</si>
  <si>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</si>
  <si>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</si>
  <si>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</si>
  <si>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</si>
  <si>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</si>
  <si>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</si>
  <si>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</si>
  <si>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</si>
  <si>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</si>
  <si>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</si>
  <si>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</si>
  <si>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</si>
  <si>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</si>
  <si>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</si>
  <si>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</si>
  <si>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</si>
  <si>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</si>
  <si>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</si>
  <si>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</si>
  <si>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</si>
  <si>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</si>
  <si>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</si>
  <si>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</si>
  <si>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</si>
  <si>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</si>
  <si>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</si>
  <si>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</si>
  <si>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</si>
  <si>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</si>
  <si>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</si>
  <si>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</si>
  <si>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</si>
  <si>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</si>
  <si>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</si>
  <si>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</si>
  <si>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</si>
  <si>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</si>
  <si>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</si>
  <si>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</si>
  <si>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</si>
  <si>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</si>
  <si>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</si>
  <si>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</si>
  <si>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</si>
  <si>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</si>
  <si>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</si>
  <si>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</si>
  <si>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</si>
  <si>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</si>
  <si>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</si>
  <si>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</si>
  <si>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</si>
  <si>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</si>
  <si>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</si>
  <si>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</si>
  <si>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</si>
  <si>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</si>
  <si>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</si>
  <si>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</si>
  <si>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</si>
  <si>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</si>
  <si>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</si>
  <si>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</si>
  <si>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</si>
  <si>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</si>
  <si>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</si>
  <si>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</si>
  <si>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</si>
  <si>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</si>
  <si>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</si>
  <si>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</si>
  <si>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</si>
  <si>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</si>
  <si>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</si>
  <si>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</si>
  <si>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</si>
  <si>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</si>
  <si>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</si>
  <si>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</si>
  <si>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</si>
  <si>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</si>
  <si>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</si>
  <si>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</si>
  <si>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</si>
  <si>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</si>
  <si>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</si>
  <si>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</si>
  <si>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</si>
  <si>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</si>
  <si>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</si>
  <si>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</si>
  <si>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</si>
  <si>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</si>
  <si>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</si>
  <si>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</si>
  <si>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</si>
  <si>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</si>
  <si>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</si>
  <si>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</si>
  <si>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</si>
  <si>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</si>
  <si>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</si>
  <si>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</si>
  <si>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</si>
  <si>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</si>
  <si>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</si>
  <si>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</si>
  <si>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</si>
  <si>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</si>
  <si>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</si>
  <si>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</si>
  <si>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</si>
  <si>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</si>
  <si>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</si>
  <si>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</si>
  <si>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</si>
  <si>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</si>
  <si>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</si>
  <si>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</si>
  <si>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</si>
  <si>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</si>
  <si>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</si>
  <si>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</si>
  <si>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</si>
  <si>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</si>
  <si>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</si>
  <si>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</si>
  <si>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</si>
  <si>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</si>
  <si>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</si>
  <si>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</si>
  <si>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</si>
  <si>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</si>
  <si>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</si>
  <si>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</si>
  <si>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</si>
  <si>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</si>
  <si>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</si>
  <si>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</si>
  <si>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</si>
  <si>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</si>
  <si>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</si>
  <si>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</si>
  <si>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</si>
  <si>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</si>
  <si>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</si>
  <si>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</si>
  <si>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</si>
  <si>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</si>
  <si>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</si>
  <si>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</si>
  <si>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</si>
  <si>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</si>
  <si>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</si>
  <si>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</si>
  <si>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</si>
  <si>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</si>
  <si>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</si>
  <si>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</si>
  <si>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</si>
  <si>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</si>
  <si>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</si>
  <si>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</si>
  <si>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</si>
  <si>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</si>
  <si>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</si>
  <si>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</si>
  <si>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</si>
  <si>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</si>
  <si>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</si>
  <si>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</si>
  <si>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</si>
  <si>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</si>
  <si>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</si>
  <si>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</si>
  <si>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</si>
  <si>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</si>
  <si>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</si>
  <si>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</si>
  <si>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</si>
  <si>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</si>
  <si>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</si>
  <si>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</si>
  <si>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</si>
  <si>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</si>
  <si>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</si>
  <si>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</si>
  <si>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</si>
  <si>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</si>
  <si>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</si>
  <si>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</si>
  <si>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</si>
  <si>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</si>
  <si>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</si>
  <si>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</si>
  <si>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</si>
  <si>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</si>
  <si>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</si>
  <si>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</si>
  <si>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</si>
  <si>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</si>
  <si>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</si>
  <si>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</si>
  <si>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</si>
  <si>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</si>
  <si>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</si>
  <si>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</si>
  <si>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</si>
  <si>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</si>
  <si>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</si>
  <si>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</si>
  <si>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</si>
  <si>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</si>
  <si>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</si>
  <si>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</si>
  <si>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</si>
  <si>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</si>
  <si>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</si>
  <si>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</si>
  <si>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</si>
  <si>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</si>
  <si>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</si>
  <si>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</si>
  <si>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</si>
  <si>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</si>
  <si>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</si>
  <si>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</si>
  <si>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</si>
  <si>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</si>
  <si>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</si>
  <si>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</si>
  <si>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</si>
  <si>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</si>
  <si>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</si>
  <si>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</si>
  <si>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</si>
  <si>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</si>
  <si>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</si>
  <si>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</si>
  <si>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</si>
  <si>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</si>
  <si>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</si>
  <si>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</si>
  <si>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</si>
  <si>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</si>
  <si>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</si>
  <si>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</si>
  <si>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</si>
  <si>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</si>
  <si>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</si>
  <si>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</si>
  <si>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</si>
  <si>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</si>
  <si>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</si>
  <si>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</si>
  <si>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</si>
  <si>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</si>
  <si>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</si>
  <si>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</si>
  <si>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</si>
  <si>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</si>
  <si>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</si>
  <si>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</si>
  <si>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</si>
  <si>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</si>
  <si>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</si>
  <si>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</si>
  <si>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</si>
  <si>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</si>
  <si>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</si>
  <si>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</si>
  <si>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</si>
  <si>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</si>
  <si>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</si>
  <si>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</si>
  <si>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</si>
  <si>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</si>
  <si>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</si>
  <si>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</si>
  <si>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</si>
  <si>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</si>
  <si>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</si>
  <si>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</si>
  <si>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</si>
  <si>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</si>
  <si>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</si>
  <si>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</si>
  <si>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</si>
  <si>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</si>
  <si>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</si>
  <si>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</si>
  <si>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</si>
  <si>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</si>
  <si>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</si>
  <si>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</si>
  <si>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</si>
  <si>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</si>
  <si>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</si>
  <si>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</si>
  <si>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</si>
  <si>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</si>
  <si>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</si>
  <si>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</si>
  <si>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</si>
  <si>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</si>
  <si>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</si>
  <si>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</si>
  <si>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</si>
  <si>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</si>
  <si>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</si>
  <si>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</si>
  <si>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</si>
  <si>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</si>
  <si>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</si>
  <si>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</si>
  <si>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</si>
  <si>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</si>
  <si>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</si>
  <si>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</si>
  <si>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</si>
  <si>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</si>
  <si>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</si>
  <si>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</si>
  <si>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</si>
  <si>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</si>
  <si>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</si>
  <si>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</si>
  <si>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</si>
  <si>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</si>
  <si>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</si>
  <si>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</si>
  <si>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</si>
  <si>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</si>
  <si>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</si>
  <si>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</si>
  <si>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</si>
  <si>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</si>
  <si>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</si>
  <si>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</si>
  <si>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</si>
  <si>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</si>
  <si>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</si>
  <si>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</si>
  <si>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</si>
  <si>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</si>
  <si>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</si>
  <si>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</si>
  <si>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</si>
  <si>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</si>
  <si>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</si>
  <si>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</si>
  <si>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</si>
  <si>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</si>
  <si>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</si>
  <si>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</si>
  <si>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</si>
  <si>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</si>
  <si>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</si>
  <si>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</si>
  <si>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</si>
  <si>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</si>
  <si>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</si>
  <si>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</si>
  <si>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</si>
  <si>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</si>
  <si>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</si>
  <si>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</si>
  <si>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</si>
  <si>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</si>
  <si>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</si>
  <si>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</si>
  <si>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</si>
  <si>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</si>
  <si>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</si>
  <si>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</si>
  <si>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</si>
  <si>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</si>
  <si>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</si>
  <si>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</si>
  <si>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</si>
  <si>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</si>
  <si>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</si>
  <si>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</si>
  <si>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</si>
  <si>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</si>
  <si>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</si>
  <si>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</si>
  <si>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</si>
  <si>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</si>
  <si>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</si>
  <si>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</si>
  <si>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</si>
  <si>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</si>
  <si>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</si>
  <si>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</si>
  <si>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</si>
  <si>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</si>
  <si>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</si>
  <si>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</si>
  <si>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</si>
  <si>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</si>
  <si>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</si>
  <si>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</si>
  <si>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</si>
  <si>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</si>
  <si>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</si>
  <si>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</si>
  <si>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</si>
  <si>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</si>
  <si>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</si>
  <si>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</si>
  <si>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</si>
  <si>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</si>
  <si>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</si>
  <si>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</si>
  <si>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</si>
  <si>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</si>
  <si>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</si>
  <si>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</si>
  <si>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</si>
  <si>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</si>
  <si>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</si>
  <si>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</si>
  <si>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</si>
  <si>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</si>
  <si>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</si>
  <si>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</si>
  <si>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</si>
  <si>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</si>
  <si>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</si>
  <si>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</si>
  <si>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</si>
  <si>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</si>
  <si>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</si>
  <si>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</si>
  <si>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</si>
  <si>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</si>
  <si>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</si>
  <si>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</si>
  <si>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</si>
  <si>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</si>
  <si>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</si>
  <si>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</si>
  <si>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</si>
  <si>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</si>
  <si>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</si>
  <si>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</si>
  <si>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</si>
  <si>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</si>
  <si>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</si>
  <si>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</si>
  <si>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</si>
  <si>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</si>
  <si>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</si>
  <si>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</si>
  <si>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</si>
  <si>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</si>
  <si>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</si>
  <si>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</si>
  <si>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</si>
  <si>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</si>
  <si>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</si>
  <si>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</si>
  <si>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</si>
  <si>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</si>
  <si>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</si>
  <si>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</si>
  <si>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</si>
  <si>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</si>
  <si>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</si>
  <si>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</si>
  <si>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</si>
  <si>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</si>
  <si>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</si>
  <si>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</si>
  <si>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</si>
  <si>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</si>
  <si>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</si>
  <si>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</si>
  <si>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</si>
  <si>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</si>
  <si>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</si>
  <si>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</si>
  <si>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</si>
  <si>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</si>
  <si>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</si>
  <si>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</si>
  <si>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</si>
  <si>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</si>
  <si>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</si>
  <si>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</si>
  <si>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</si>
  <si>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</si>
  <si>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</si>
  <si>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</si>
  <si>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</si>
  <si>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</si>
  <si>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</si>
  <si>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</si>
  <si>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</si>
  <si>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</si>
  <si>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</si>
  <si>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</si>
  <si>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</si>
  <si>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</si>
  <si>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</si>
  <si>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</si>
  <si>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</si>
  <si>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</si>
  <si>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</si>
  <si>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</si>
  <si>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</si>
  <si>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</si>
  <si>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</si>
  <si>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</si>
  <si>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</si>
  <si>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</si>
  <si>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</si>
  <si>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</si>
  <si>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</si>
  <si>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</si>
  <si>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</si>
  <si>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</si>
  <si>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</si>
  <si>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</si>
  <si>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</si>
  <si>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</si>
  <si>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</si>
  <si>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</si>
  <si>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</si>
  <si>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</si>
  <si>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</si>
  <si>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</si>
  <si>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</si>
  <si>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</si>
  <si>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</si>
  <si>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</si>
  <si>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</si>
  <si>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</si>
  <si>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</si>
  <si>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</si>
  <si>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</si>
  <si>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</si>
  <si>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</si>
  <si>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</si>
  <si>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</si>
  <si>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</si>
  <si>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</si>
  <si>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</si>
  <si>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</si>
  <si>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</si>
  <si>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</si>
  <si>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</si>
  <si>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</si>
  <si>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</si>
  <si>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</si>
  <si>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</si>
  <si>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</si>
  <si>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</si>
  <si>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</si>
  <si>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</si>
  <si>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</si>
  <si>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</si>
  <si>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</si>
  <si>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</si>
  <si>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</si>
  <si>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</si>
  <si>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</si>
  <si>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</si>
  <si>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</si>
  <si>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</si>
  <si>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</si>
  <si>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</si>
  <si>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</si>
  <si>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Active Employees</t>
  </si>
  <si>
    <t>Job Title</t>
  </si>
  <si>
    <t>Count</t>
  </si>
  <si>
    <t>ReviewYear</t>
  </si>
  <si>
    <t>Rating</t>
  </si>
  <si>
    <t>TrainingHours</t>
  </si>
  <si>
    <t>ProjectsCompleted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</si>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</sst>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1" fillId="0" borderId="4" xfId="0" applyFont="1" applyBorder="1"/>
    <xf numFmtId="0" fontId="0" fillId="0" borderId="4" xfId="0" applyBorder="1"/>
    <xf numFmtId="0" fontId="2" fillId="5" borderId="4" xfId="0" applyFont="1" applyFill="1" applyBorder="1"/>
    <xf numFmtId="0" fontId="0" fillId="5" borderId="4" xfId="0" applyFill="1" applyBorder="1"/>
    <xf numFmtId="0" fontId="2" fillId="6" borderId="2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1" fillId="7" borderId="4" xfId="0" applyFont="1" applyFill="1" applyBorder="1"/>
    <xf numFmtId="0" fontId="0" fillId="7" borderId="4" xfId="0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R_Dataset.xlsx" TargetMode="External"/><Relationship Id="rId2" Type="http://schemas.openxmlformats.org/officeDocument/2006/relationships/externalLinkPath" Target="file:///D:\ANUDIP\Class%20Work\HR_Dataset.xlsx" TargetMode="External"/><Relationship Id="rId1" Type="http://schemas.openxmlformats.org/officeDocument/2006/relationships/externalLinkPath" Target="/ANUDIP/Class%20Work/HR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mployees"/>
      <sheetName val="Departments"/>
      <sheetName val="Performance"/>
    </sheetNames>
    <sheetDataSet>
      <sheetData sheetId="0">
        <row r="2">
          <cell r="I2">
            <v>105257</v>
          </cell>
        </row>
        <row r="3">
          <cell r="I3">
            <v>97903</v>
          </cell>
        </row>
        <row r="4">
          <cell r="I4">
            <v>73429</v>
          </cell>
        </row>
        <row r="5">
          <cell r="I5">
            <v>99336</v>
          </cell>
        </row>
        <row r="6">
          <cell r="I6">
            <v>105020</v>
          </cell>
        </row>
        <row r="7">
          <cell r="I7">
            <v>93173</v>
          </cell>
        </row>
        <row r="8">
          <cell r="I8">
            <v>106626</v>
          </cell>
        </row>
        <row r="9">
          <cell r="I9">
            <v>114547</v>
          </cell>
        </row>
        <row r="10">
          <cell r="I10">
            <v>51139</v>
          </cell>
        </row>
        <row r="11">
          <cell r="I11">
            <v>60673</v>
          </cell>
        </row>
        <row r="12">
          <cell r="I12">
            <v>65690</v>
          </cell>
        </row>
        <row r="13">
          <cell r="I13">
            <v>63823</v>
          </cell>
        </row>
        <row r="14">
          <cell r="I14">
            <v>49557</v>
          </cell>
        </row>
        <row r="15">
          <cell r="I15">
            <v>116901</v>
          </cell>
        </row>
        <row r="16">
          <cell r="I16">
            <v>85190</v>
          </cell>
        </row>
        <row r="17">
          <cell r="I17">
            <v>95723</v>
          </cell>
        </row>
        <row r="18">
          <cell r="I18">
            <v>35234</v>
          </cell>
        </row>
        <row r="19">
          <cell r="I19">
            <v>102733</v>
          </cell>
        </row>
        <row r="20">
          <cell r="I20">
            <v>76829</v>
          </cell>
        </row>
        <row r="21">
          <cell r="I21">
            <v>69718</v>
          </cell>
        </row>
        <row r="22">
          <cell r="I22">
            <v>90834</v>
          </cell>
        </row>
        <row r="23">
          <cell r="I23">
            <v>51631</v>
          </cell>
        </row>
        <row r="24">
          <cell r="I24">
            <v>51414</v>
          </cell>
        </row>
        <row r="25">
          <cell r="I25">
            <v>79578</v>
          </cell>
        </row>
        <row r="26">
          <cell r="I26">
            <v>111899</v>
          </cell>
        </row>
        <row r="27">
          <cell r="I27">
            <v>95862</v>
          </cell>
        </row>
        <row r="28">
          <cell r="I28">
            <v>110397</v>
          </cell>
        </row>
        <row r="29">
          <cell r="I29">
            <v>111149</v>
          </cell>
        </row>
        <row r="30">
          <cell r="I30">
            <v>67035</v>
          </cell>
        </row>
        <row r="31">
          <cell r="I31">
            <v>103851</v>
          </cell>
        </row>
        <row r="32">
          <cell r="I32">
            <v>63676</v>
          </cell>
        </row>
        <row r="33">
          <cell r="I33">
            <v>115269</v>
          </cell>
        </row>
        <row r="34">
          <cell r="I34">
            <v>77203</v>
          </cell>
        </row>
        <row r="35">
          <cell r="I35">
            <v>113291</v>
          </cell>
        </row>
        <row r="36">
          <cell r="I36">
            <v>93729</v>
          </cell>
        </row>
        <row r="37">
          <cell r="I37">
            <v>35947</v>
          </cell>
        </row>
        <row r="38">
          <cell r="I38">
            <v>72311</v>
          </cell>
        </row>
        <row r="39">
          <cell r="I39">
            <v>38763</v>
          </cell>
        </row>
        <row r="40">
          <cell r="I40">
            <v>101175</v>
          </cell>
        </row>
        <row r="41">
          <cell r="I41">
            <v>36386</v>
          </cell>
        </row>
        <row r="42">
          <cell r="I42">
            <v>76395</v>
          </cell>
        </row>
        <row r="43">
          <cell r="I43">
            <v>43701</v>
          </cell>
        </row>
        <row r="44">
          <cell r="I44">
            <v>85198</v>
          </cell>
        </row>
        <row r="45">
          <cell r="I45">
            <v>39451</v>
          </cell>
        </row>
        <row r="46">
          <cell r="I46">
            <v>45087</v>
          </cell>
        </row>
        <row r="47">
          <cell r="I47">
            <v>38222</v>
          </cell>
        </row>
        <row r="48">
          <cell r="I48">
            <v>96188</v>
          </cell>
        </row>
        <row r="49">
          <cell r="I49">
            <v>106013</v>
          </cell>
        </row>
        <row r="50">
          <cell r="I50">
            <v>82014</v>
          </cell>
        </row>
        <row r="51">
          <cell r="I51">
            <v>84323</v>
          </cell>
        </row>
        <row r="52">
          <cell r="I52">
            <v>93289</v>
          </cell>
        </row>
        <row r="53">
          <cell r="I53">
            <v>43926</v>
          </cell>
        </row>
        <row r="54">
          <cell r="I54">
            <v>102761</v>
          </cell>
        </row>
        <row r="55">
          <cell r="I55">
            <v>109960</v>
          </cell>
        </row>
        <row r="56">
          <cell r="I56">
            <v>83308</v>
          </cell>
        </row>
        <row r="57">
          <cell r="I57">
            <v>44078</v>
          </cell>
        </row>
        <row r="58">
          <cell r="I58">
            <v>60444</v>
          </cell>
        </row>
        <row r="59">
          <cell r="I59">
            <v>37951</v>
          </cell>
        </row>
        <row r="60">
          <cell r="I60">
            <v>88790</v>
          </cell>
        </row>
        <row r="61">
          <cell r="I61">
            <v>119530</v>
          </cell>
        </row>
        <row r="62">
          <cell r="I62">
            <v>72048</v>
          </cell>
        </row>
        <row r="63">
          <cell r="I63">
            <v>76700</v>
          </cell>
        </row>
        <row r="64">
          <cell r="I64">
            <v>86315</v>
          </cell>
        </row>
        <row r="65">
          <cell r="I65">
            <v>85454</v>
          </cell>
        </row>
        <row r="66">
          <cell r="I66">
            <v>83281</v>
          </cell>
        </row>
        <row r="67">
          <cell r="I67">
            <v>44531</v>
          </cell>
        </row>
        <row r="68">
          <cell r="I68">
            <v>44990</v>
          </cell>
        </row>
        <row r="69">
          <cell r="I69">
            <v>39110</v>
          </cell>
        </row>
        <row r="70">
          <cell r="I70">
            <v>60760</v>
          </cell>
        </row>
        <row r="71">
          <cell r="I71">
            <v>118796</v>
          </cell>
        </row>
        <row r="72">
          <cell r="I72">
            <v>88225</v>
          </cell>
        </row>
        <row r="73">
          <cell r="I73">
            <v>64891</v>
          </cell>
        </row>
        <row r="74">
          <cell r="I74">
            <v>72035</v>
          </cell>
        </row>
        <row r="75">
          <cell r="I75">
            <v>50545</v>
          </cell>
        </row>
        <row r="76">
          <cell r="I76">
            <v>79385</v>
          </cell>
        </row>
        <row r="77">
          <cell r="I77">
            <v>48744</v>
          </cell>
        </row>
        <row r="78">
          <cell r="I78">
            <v>48865</v>
          </cell>
        </row>
        <row r="79">
          <cell r="I79">
            <v>73437</v>
          </cell>
        </row>
        <row r="80">
          <cell r="I80">
            <v>75232</v>
          </cell>
        </row>
        <row r="81">
          <cell r="I81">
            <v>53034</v>
          </cell>
        </row>
        <row r="82">
          <cell r="I82">
            <v>110168</v>
          </cell>
        </row>
        <row r="83">
          <cell r="I83">
            <v>107488</v>
          </cell>
        </row>
        <row r="84">
          <cell r="I84">
            <v>53754</v>
          </cell>
        </row>
        <row r="85">
          <cell r="I85">
            <v>99891</v>
          </cell>
        </row>
        <row r="86">
          <cell r="I86">
            <v>109363</v>
          </cell>
        </row>
        <row r="87">
          <cell r="I87">
            <v>57248</v>
          </cell>
        </row>
        <row r="88">
          <cell r="I88">
            <v>89625</v>
          </cell>
        </row>
        <row r="89">
          <cell r="I89">
            <v>104211</v>
          </cell>
        </row>
        <row r="90">
          <cell r="I90">
            <v>82819</v>
          </cell>
        </row>
        <row r="91">
          <cell r="I91">
            <v>105392</v>
          </cell>
        </row>
        <row r="92">
          <cell r="I92">
            <v>52568</v>
          </cell>
        </row>
        <row r="93">
          <cell r="I93">
            <v>119403</v>
          </cell>
        </row>
        <row r="94">
          <cell r="I94">
            <v>54883</v>
          </cell>
        </row>
        <row r="95">
          <cell r="I95">
            <v>83855</v>
          </cell>
        </row>
        <row r="96">
          <cell r="I96">
            <v>43725</v>
          </cell>
        </row>
        <row r="97">
          <cell r="I97">
            <v>104506</v>
          </cell>
        </row>
        <row r="98">
          <cell r="I98">
            <v>36873</v>
          </cell>
        </row>
        <row r="99">
          <cell r="I99">
            <v>50051</v>
          </cell>
        </row>
        <row r="100">
          <cell r="I100">
            <v>42571</v>
          </cell>
        </row>
        <row r="101">
          <cell r="I101">
            <v>60616</v>
          </cell>
        </row>
        <row r="102">
          <cell r="I102">
            <v>75929</v>
          </cell>
        </row>
        <row r="103">
          <cell r="I103">
            <v>106165</v>
          </cell>
        </row>
        <row r="104">
          <cell r="I104">
            <v>44946</v>
          </cell>
        </row>
        <row r="105">
          <cell r="I105">
            <v>64572</v>
          </cell>
        </row>
        <row r="106">
          <cell r="I106">
            <v>74825</v>
          </cell>
        </row>
        <row r="107">
          <cell r="I107">
            <v>52495</v>
          </cell>
        </row>
        <row r="108">
          <cell r="I108">
            <v>90958</v>
          </cell>
        </row>
        <row r="109">
          <cell r="I109">
            <v>51096</v>
          </cell>
        </row>
        <row r="110">
          <cell r="I110">
            <v>90458</v>
          </cell>
        </row>
        <row r="111">
          <cell r="I111">
            <v>67338</v>
          </cell>
        </row>
        <row r="112">
          <cell r="I112">
            <v>106100</v>
          </cell>
        </row>
        <row r="113">
          <cell r="I113">
            <v>62840</v>
          </cell>
        </row>
        <row r="114">
          <cell r="I114">
            <v>69569</v>
          </cell>
        </row>
        <row r="115">
          <cell r="I115">
            <v>109099</v>
          </cell>
        </row>
        <row r="116">
          <cell r="I116">
            <v>74368</v>
          </cell>
        </row>
        <row r="117">
          <cell r="I117">
            <v>111621</v>
          </cell>
        </row>
        <row r="118">
          <cell r="I118">
            <v>82446</v>
          </cell>
        </row>
        <row r="119">
          <cell r="I119">
            <v>99200</v>
          </cell>
        </row>
        <row r="120">
          <cell r="I120">
            <v>56294</v>
          </cell>
        </row>
        <row r="121">
          <cell r="I121">
            <v>112759</v>
          </cell>
        </row>
        <row r="122">
          <cell r="I122">
            <v>70479</v>
          </cell>
        </row>
        <row r="123">
          <cell r="I123">
            <v>52630</v>
          </cell>
        </row>
        <row r="124">
          <cell r="I124">
            <v>78119</v>
          </cell>
        </row>
        <row r="125">
          <cell r="I125">
            <v>77100</v>
          </cell>
        </row>
        <row r="126">
          <cell r="I126">
            <v>48296</v>
          </cell>
        </row>
        <row r="127">
          <cell r="I127">
            <v>69026</v>
          </cell>
        </row>
        <row r="128">
          <cell r="I128">
            <v>97080</v>
          </cell>
        </row>
        <row r="129">
          <cell r="I129">
            <v>71436</v>
          </cell>
        </row>
        <row r="130">
          <cell r="I130">
            <v>87790</v>
          </cell>
        </row>
        <row r="131">
          <cell r="I131">
            <v>119530</v>
          </cell>
        </row>
        <row r="132">
          <cell r="I132">
            <v>100623</v>
          </cell>
        </row>
        <row r="133">
          <cell r="I133">
            <v>40317</v>
          </cell>
        </row>
        <row r="134">
          <cell r="I134">
            <v>87915</v>
          </cell>
        </row>
        <row r="135">
          <cell r="I135">
            <v>102279</v>
          </cell>
        </row>
        <row r="136">
          <cell r="I136">
            <v>72887</v>
          </cell>
        </row>
        <row r="137">
          <cell r="I137">
            <v>92793</v>
          </cell>
        </row>
        <row r="138">
          <cell r="I138">
            <v>114316</v>
          </cell>
        </row>
        <row r="139">
          <cell r="I139">
            <v>60835</v>
          </cell>
        </row>
        <row r="140">
          <cell r="I140">
            <v>105179</v>
          </cell>
        </row>
        <row r="141">
          <cell r="I141">
            <v>109704</v>
          </cell>
        </row>
        <row r="142">
          <cell r="I142">
            <v>68125</v>
          </cell>
        </row>
        <row r="143">
          <cell r="I143">
            <v>96812</v>
          </cell>
        </row>
        <row r="144">
          <cell r="I144">
            <v>116650</v>
          </cell>
        </row>
        <row r="145">
          <cell r="I145">
            <v>86592</v>
          </cell>
        </row>
        <row r="146">
          <cell r="I146">
            <v>78320</v>
          </cell>
        </row>
        <row r="147">
          <cell r="I147">
            <v>50627</v>
          </cell>
        </row>
        <row r="148">
          <cell r="I148">
            <v>84212</v>
          </cell>
        </row>
        <row r="149">
          <cell r="I149">
            <v>98718</v>
          </cell>
        </row>
        <row r="150">
          <cell r="I150">
            <v>35307</v>
          </cell>
        </row>
        <row r="151">
          <cell r="I151">
            <v>92735</v>
          </cell>
        </row>
        <row r="152">
          <cell r="I152">
            <v>55679</v>
          </cell>
        </row>
        <row r="153">
          <cell r="I153">
            <v>94614</v>
          </cell>
        </row>
        <row r="154">
          <cell r="I154">
            <v>102516</v>
          </cell>
        </row>
        <row r="155">
          <cell r="I155">
            <v>47666</v>
          </cell>
        </row>
        <row r="156">
          <cell r="I156">
            <v>72710</v>
          </cell>
        </row>
        <row r="157">
          <cell r="I157">
            <v>60944</v>
          </cell>
        </row>
        <row r="158">
          <cell r="I158">
            <v>87181</v>
          </cell>
        </row>
        <row r="159">
          <cell r="I159">
            <v>65659</v>
          </cell>
        </row>
        <row r="160">
          <cell r="I160">
            <v>100538</v>
          </cell>
        </row>
        <row r="161">
          <cell r="I161">
            <v>109819</v>
          </cell>
        </row>
        <row r="162">
          <cell r="I162">
            <v>113747</v>
          </cell>
        </row>
        <row r="163">
          <cell r="I163">
            <v>103468</v>
          </cell>
        </row>
        <row r="164">
          <cell r="I164">
            <v>55327</v>
          </cell>
        </row>
        <row r="165">
          <cell r="I165">
            <v>89628</v>
          </cell>
        </row>
        <row r="166">
          <cell r="I166">
            <v>98304</v>
          </cell>
        </row>
        <row r="167">
          <cell r="I167">
            <v>116611</v>
          </cell>
        </row>
        <row r="168">
          <cell r="I168">
            <v>45748</v>
          </cell>
        </row>
        <row r="169">
          <cell r="I169">
            <v>45767</v>
          </cell>
        </row>
        <row r="170">
          <cell r="I170">
            <v>63927</v>
          </cell>
        </row>
        <row r="171">
          <cell r="I171">
            <v>116657</v>
          </cell>
        </row>
        <row r="172">
          <cell r="I172">
            <v>35376</v>
          </cell>
        </row>
        <row r="173">
          <cell r="I173">
            <v>37908</v>
          </cell>
        </row>
        <row r="174">
          <cell r="I174">
            <v>106205</v>
          </cell>
        </row>
        <row r="175">
          <cell r="I175">
            <v>101504</v>
          </cell>
        </row>
        <row r="176">
          <cell r="I176">
            <v>36710</v>
          </cell>
        </row>
        <row r="177">
          <cell r="I177">
            <v>78149</v>
          </cell>
        </row>
        <row r="178">
          <cell r="I178">
            <v>93998</v>
          </cell>
        </row>
        <row r="179">
          <cell r="I179">
            <v>47599</v>
          </cell>
        </row>
        <row r="180">
          <cell r="I180">
            <v>82412</v>
          </cell>
        </row>
        <row r="181">
          <cell r="I181">
            <v>82496</v>
          </cell>
        </row>
        <row r="182">
          <cell r="I182">
            <v>51231</v>
          </cell>
        </row>
        <row r="183">
          <cell r="I183">
            <v>119053</v>
          </cell>
        </row>
        <row r="184">
          <cell r="I184">
            <v>111243</v>
          </cell>
        </row>
        <row r="185">
          <cell r="I185">
            <v>73063</v>
          </cell>
        </row>
        <row r="186">
          <cell r="I186">
            <v>71247</v>
          </cell>
        </row>
        <row r="187">
          <cell r="I187">
            <v>67422</v>
          </cell>
        </row>
        <row r="188">
          <cell r="I188">
            <v>110628</v>
          </cell>
        </row>
        <row r="189">
          <cell r="I189">
            <v>96540</v>
          </cell>
        </row>
        <row r="190">
          <cell r="I190">
            <v>76991</v>
          </cell>
        </row>
        <row r="191">
          <cell r="I191">
            <v>92562</v>
          </cell>
        </row>
        <row r="192">
          <cell r="I192">
            <v>102983</v>
          </cell>
        </row>
        <row r="193">
          <cell r="I193">
            <v>114420</v>
          </cell>
        </row>
        <row r="194">
          <cell r="I194">
            <v>108419</v>
          </cell>
        </row>
        <row r="195">
          <cell r="I195">
            <v>100498</v>
          </cell>
        </row>
        <row r="196">
          <cell r="I196">
            <v>62004</v>
          </cell>
        </row>
        <row r="197">
          <cell r="I197">
            <v>37033</v>
          </cell>
        </row>
        <row r="198">
          <cell r="I198">
            <v>58062</v>
          </cell>
        </row>
        <row r="199">
          <cell r="I199">
            <v>49357</v>
          </cell>
        </row>
        <row r="200">
          <cell r="I200">
            <v>59758</v>
          </cell>
        </row>
        <row r="201">
          <cell r="I201">
            <v>45788</v>
          </cell>
        </row>
        <row r="202">
          <cell r="I202">
            <v>38862</v>
          </cell>
        </row>
        <row r="203">
          <cell r="I203">
            <v>76132</v>
          </cell>
        </row>
        <row r="204">
          <cell r="I204">
            <v>56773</v>
          </cell>
        </row>
        <row r="205">
          <cell r="I205">
            <v>84117</v>
          </cell>
        </row>
        <row r="206">
          <cell r="I206">
            <v>111999</v>
          </cell>
        </row>
        <row r="207">
          <cell r="I207">
            <v>93395</v>
          </cell>
        </row>
        <row r="208">
          <cell r="I208">
            <v>91944</v>
          </cell>
        </row>
        <row r="209">
          <cell r="I209">
            <v>115357</v>
          </cell>
        </row>
        <row r="210">
          <cell r="I210">
            <v>103876</v>
          </cell>
        </row>
        <row r="211">
          <cell r="I211">
            <v>106174</v>
          </cell>
        </row>
        <row r="212">
          <cell r="I212">
            <v>80612</v>
          </cell>
        </row>
        <row r="213">
          <cell r="I213">
            <v>103478</v>
          </cell>
        </row>
        <row r="214">
          <cell r="I214">
            <v>38205</v>
          </cell>
        </row>
        <row r="215">
          <cell r="I215">
            <v>53141</v>
          </cell>
        </row>
        <row r="216">
          <cell r="I216">
            <v>70180</v>
          </cell>
        </row>
        <row r="217">
          <cell r="I217">
            <v>48946</v>
          </cell>
        </row>
        <row r="218">
          <cell r="I218">
            <v>107342</v>
          </cell>
        </row>
        <row r="219">
          <cell r="I219">
            <v>45973</v>
          </cell>
        </row>
        <row r="220">
          <cell r="I220">
            <v>49800</v>
          </cell>
        </row>
        <row r="221">
          <cell r="I221">
            <v>39237</v>
          </cell>
        </row>
        <row r="222">
          <cell r="I222">
            <v>69777</v>
          </cell>
        </row>
        <row r="223">
          <cell r="I223">
            <v>45012</v>
          </cell>
        </row>
        <row r="224">
          <cell r="I224">
            <v>99157</v>
          </cell>
        </row>
        <row r="225">
          <cell r="I225">
            <v>81470</v>
          </cell>
        </row>
        <row r="226">
          <cell r="I226">
            <v>98738</v>
          </cell>
        </row>
        <row r="227">
          <cell r="I227">
            <v>69768</v>
          </cell>
        </row>
        <row r="228">
          <cell r="I228">
            <v>78816</v>
          </cell>
        </row>
        <row r="229">
          <cell r="I229">
            <v>39186</v>
          </cell>
        </row>
        <row r="230">
          <cell r="I230">
            <v>90363</v>
          </cell>
        </row>
        <row r="231">
          <cell r="I231">
            <v>86374</v>
          </cell>
        </row>
        <row r="232">
          <cell r="I232">
            <v>51057</v>
          </cell>
        </row>
        <row r="233">
          <cell r="I233">
            <v>94146</v>
          </cell>
        </row>
        <row r="234">
          <cell r="I234">
            <v>102836</v>
          </cell>
        </row>
        <row r="235">
          <cell r="I235">
            <v>56052</v>
          </cell>
        </row>
        <row r="236">
          <cell r="I236">
            <v>106491</v>
          </cell>
        </row>
        <row r="237">
          <cell r="I237">
            <v>36633</v>
          </cell>
        </row>
        <row r="238">
          <cell r="I238">
            <v>109744</v>
          </cell>
        </row>
        <row r="239">
          <cell r="I239">
            <v>44217</v>
          </cell>
        </row>
        <row r="240">
          <cell r="I240">
            <v>40758</v>
          </cell>
        </row>
        <row r="241">
          <cell r="I241">
            <v>49878</v>
          </cell>
        </row>
        <row r="242">
          <cell r="I242">
            <v>95831</v>
          </cell>
        </row>
        <row r="243">
          <cell r="I243">
            <v>106015</v>
          </cell>
        </row>
        <row r="244">
          <cell r="I244">
            <v>100388</v>
          </cell>
        </row>
        <row r="245">
          <cell r="I245">
            <v>60932</v>
          </cell>
        </row>
        <row r="246">
          <cell r="I246">
            <v>107818</v>
          </cell>
        </row>
        <row r="247">
          <cell r="I247">
            <v>95198</v>
          </cell>
        </row>
        <row r="248">
          <cell r="I248">
            <v>42635</v>
          </cell>
        </row>
        <row r="249">
          <cell r="I249">
            <v>48738</v>
          </cell>
        </row>
        <row r="250">
          <cell r="I250">
            <v>64435</v>
          </cell>
        </row>
        <row r="251">
          <cell r="I251">
            <v>116007</v>
          </cell>
        </row>
        <row r="252">
          <cell r="I252">
            <v>60256</v>
          </cell>
        </row>
        <row r="253">
          <cell r="I253">
            <v>79852</v>
          </cell>
        </row>
        <row r="254">
          <cell r="I254">
            <v>94875</v>
          </cell>
        </row>
        <row r="255">
          <cell r="I255">
            <v>43197</v>
          </cell>
        </row>
        <row r="256">
          <cell r="I256">
            <v>117451</v>
          </cell>
        </row>
        <row r="257">
          <cell r="I257">
            <v>54493</v>
          </cell>
        </row>
        <row r="258">
          <cell r="I258">
            <v>68822</v>
          </cell>
        </row>
        <row r="259">
          <cell r="I259">
            <v>96058</v>
          </cell>
        </row>
        <row r="260">
          <cell r="I260">
            <v>109724</v>
          </cell>
        </row>
        <row r="261">
          <cell r="I261">
            <v>69243</v>
          </cell>
        </row>
        <row r="262">
          <cell r="I262">
            <v>46775</v>
          </cell>
        </row>
        <row r="263">
          <cell r="I263">
            <v>86841</v>
          </cell>
        </row>
        <row r="264">
          <cell r="I264">
            <v>91520</v>
          </cell>
        </row>
        <row r="265">
          <cell r="I265">
            <v>97265</v>
          </cell>
        </row>
        <row r="266">
          <cell r="I266">
            <v>76450</v>
          </cell>
        </row>
        <row r="267">
          <cell r="I267">
            <v>85702</v>
          </cell>
        </row>
        <row r="268">
          <cell r="I268">
            <v>94043</v>
          </cell>
        </row>
        <row r="269">
          <cell r="I269">
            <v>59385</v>
          </cell>
        </row>
        <row r="270">
          <cell r="I270">
            <v>114243</v>
          </cell>
        </row>
        <row r="271">
          <cell r="I271">
            <v>108702</v>
          </cell>
        </row>
        <row r="272">
          <cell r="I272">
            <v>103130</v>
          </cell>
        </row>
        <row r="273">
          <cell r="I273">
            <v>71195</v>
          </cell>
        </row>
        <row r="274">
          <cell r="I274">
            <v>40336</v>
          </cell>
        </row>
        <row r="275">
          <cell r="I275">
            <v>107267</v>
          </cell>
        </row>
        <row r="276">
          <cell r="I276">
            <v>89633</v>
          </cell>
        </row>
        <row r="277">
          <cell r="I277">
            <v>76409</v>
          </cell>
        </row>
        <row r="278">
          <cell r="I278">
            <v>79899</v>
          </cell>
        </row>
        <row r="279">
          <cell r="I279">
            <v>92548</v>
          </cell>
        </row>
        <row r="280">
          <cell r="I280">
            <v>60558</v>
          </cell>
        </row>
        <row r="281">
          <cell r="I281">
            <v>40802</v>
          </cell>
        </row>
        <row r="282">
          <cell r="I282">
            <v>117454</v>
          </cell>
        </row>
        <row r="283">
          <cell r="I283">
            <v>48830</v>
          </cell>
        </row>
        <row r="284">
          <cell r="I284">
            <v>45532</v>
          </cell>
        </row>
        <row r="285">
          <cell r="I285">
            <v>44771</v>
          </cell>
        </row>
        <row r="286">
          <cell r="I286">
            <v>46998</v>
          </cell>
        </row>
        <row r="287">
          <cell r="I287">
            <v>106837</v>
          </cell>
        </row>
        <row r="288">
          <cell r="I288">
            <v>97878</v>
          </cell>
        </row>
        <row r="289">
          <cell r="I289">
            <v>42401</v>
          </cell>
        </row>
        <row r="290">
          <cell r="I290">
            <v>88760</v>
          </cell>
        </row>
        <row r="291">
          <cell r="I291">
            <v>55436</v>
          </cell>
        </row>
        <row r="292">
          <cell r="I292">
            <v>84404</v>
          </cell>
        </row>
        <row r="293">
          <cell r="I293">
            <v>83157</v>
          </cell>
        </row>
        <row r="294">
          <cell r="I294">
            <v>49330</v>
          </cell>
        </row>
        <row r="295">
          <cell r="I295">
            <v>89213</v>
          </cell>
        </row>
        <row r="296">
          <cell r="I296">
            <v>75306</v>
          </cell>
        </row>
        <row r="297">
          <cell r="I297">
            <v>88151</v>
          </cell>
        </row>
        <row r="298">
          <cell r="I298">
            <v>112274</v>
          </cell>
        </row>
        <row r="299">
          <cell r="I299">
            <v>55507</v>
          </cell>
        </row>
        <row r="300">
          <cell r="I300">
            <v>66638</v>
          </cell>
        </row>
        <row r="301">
          <cell r="I301">
            <v>43356</v>
          </cell>
        </row>
        <row r="302">
          <cell r="I302">
            <v>82425</v>
          </cell>
        </row>
        <row r="303">
          <cell r="I303">
            <v>79670</v>
          </cell>
        </row>
        <row r="304">
          <cell r="I304">
            <v>85427</v>
          </cell>
        </row>
        <row r="305">
          <cell r="I305">
            <v>76975</v>
          </cell>
        </row>
        <row r="306">
          <cell r="I306">
            <v>52019</v>
          </cell>
        </row>
        <row r="307">
          <cell r="I307">
            <v>89336</v>
          </cell>
        </row>
        <row r="308">
          <cell r="I308">
            <v>81363</v>
          </cell>
        </row>
        <row r="309">
          <cell r="I309">
            <v>74751</v>
          </cell>
        </row>
        <row r="310">
          <cell r="I310">
            <v>75014</v>
          </cell>
        </row>
        <row r="311">
          <cell r="I311">
            <v>98004</v>
          </cell>
        </row>
        <row r="312">
          <cell r="I312">
            <v>86048</v>
          </cell>
        </row>
        <row r="313">
          <cell r="I313">
            <v>105072</v>
          </cell>
        </row>
        <row r="314">
          <cell r="I314">
            <v>54389</v>
          </cell>
        </row>
        <row r="315">
          <cell r="I315">
            <v>48029</v>
          </cell>
        </row>
        <row r="316">
          <cell r="I316">
            <v>98879</v>
          </cell>
        </row>
        <row r="317">
          <cell r="I317">
            <v>41158</v>
          </cell>
        </row>
        <row r="318">
          <cell r="I318">
            <v>57027</v>
          </cell>
        </row>
        <row r="319">
          <cell r="I319">
            <v>56782</v>
          </cell>
        </row>
        <row r="320">
          <cell r="I320">
            <v>50653</v>
          </cell>
        </row>
        <row r="321">
          <cell r="I321">
            <v>104915</v>
          </cell>
        </row>
        <row r="322">
          <cell r="I322">
            <v>87776</v>
          </cell>
        </row>
        <row r="323">
          <cell r="I323">
            <v>52338</v>
          </cell>
        </row>
        <row r="324">
          <cell r="I324">
            <v>45630</v>
          </cell>
        </row>
        <row r="325">
          <cell r="I325">
            <v>80403</v>
          </cell>
        </row>
        <row r="326">
          <cell r="I326">
            <v>82902</v>
          </cell>
        </row>
        <row r="327">
          <cell r="I327">
            <v>89841</v>
          </cell>
        </row>
        <row r="328">
          <cell r="I328">
            <v>112396</v>
          </cell>
        </row>
        <row r="329">
          <cell r="I329">
            <v>91433</v>
          </cell>
        </row>
        <row r="330">
          <cell r="I330">
            <v>75628</v>
          </cell>
        </row>
        <row r="331">
          <cell r="I331">
            <v>68036</v>
          </cell>
        </row>
        <row r="332">
          <cell r="I332">
            <v>61746</v>
          </cell>
        </row>
        <row r="333">
          <cell r="I333">
            <v>47221</v>
          </cell>
        </row>
        <row r="334">
          <cell r="I334">
            <v>75595</v>
          </cell>
        </row>
        <row r="335">
          <cell r="I335">
            <v>104179</v>
          </cell>
        </row>
        <row r="336">
          <cell r="I336">
            <v>46212</v>
          </cell>
        </row>
        <row r="337">
          <cell r="I337">
            <v>39091</v>
          </cell>
        </row>
        <row r="338">
          <cell r="I338">
            <v>73436</v>
          </cell>
        </row>
        <row r="339">
          <cell r="I339">
            <v>62199</v>
          </cell>
        </row>
        <row r="340">
          <cell r="I340">
            <v>53338</v>
          </cell>
        </row>
        <row r="341">
          <cell r="I341">
            <v>64542</v>
          </cell>
        </row>
        <row r="342">
          <cell r="I342">
            <v>38117</v>
          </cell>
        </row>
        <row r="343">
          <cell r="I343">
            <v>101879</v>
          </cell>
        </row>
        <row r="344">
          <cell r="I344">
            <v>78777</v>
          </cell>
        </row>
        <row r="345">
          <cell r="I345">
            <v>43206</v>
          </cell>
        </row>
        <row r="346">
          <cell r="I346">
            <v>80745</v>
          </cell>
        </row>
        <row r="347">
          <cell r="I347">
            <v>67559</v>
          </cell>
        </row>
        <row r="348">
          <cell r="I348">
            <v>106379</v>
          </cell>
        </row>
        <row r="349">
          <cell r="I349">
            <v>103395</v>
          </cell>
        </row>
        <row r="350">
          <cell r="I350">
            <v>76025</v>
          </cell>
        </row>
        <row r="351">
          <cell r="I351">
            <v>69952</v>
          </cell>
        </row>
        <row r="352">
          <cell r="I352">
            <v>108637</v>
          </cell>
        </row>
        <row r="353">
          <cell r="I353">
            <v>65699</v>
          </cell>
        </row>
        <row r="354">
          <cell r="I354">
            <v>90340</v>
          </cell>
        </row>
        <row r="355">
          <cell r="I355">
            <v>114818</v>
          </cell>
        </row>
        <row r="356">
          <cell r="I356">
            <v>82417</v>
          </cell>
        </row>
        <row r="357">
          <cell r="I357">
            <v>116569</v>
          </cell>
        </row>
        <row r="358">
          <cell r="I358">
            <v>98489</v>
          </cell>
        </row>
        <row r="359">
          <cell r="I359">
            <v>60665</v>
          </cell>
        </row>
        <row r="360">
          <cell r="I360">
            <v>91685</v>
          </cell>
        </row>
        <row r="361">
          <cell r="I361">
            <v>76843</v>
          </cell>
        </row>
        <row r="362">
          <cell r="I362">
            <v>91860</v>
          </cell>
        </row>
        <row r="363">
          <cell r="I363">
            <v>117041</v>
          </cell>
        </row>
        <row r="364">
          <cell r="I364">
            <v>93769</v>
          </cell>
        </row>
        <row r="365">
          <cell r="I365">
            <v>43224</v>
          </cell>
        </row>
        <row r="366">
          <cell r="I366">
            <v>101866</v>
          </cell>
        </row>
        <row r="367">
          <cell r="I367">
            <v>101636</v>
          </cell>
        </row>
        <row r="368">
          <cell r="I368">
            <v>106833</v>
          </cell>
        </row>
        <row r="369">
          <cell r="I369">
            <v>75163</v>
          </cell>
        </row>
        <row r="370">
          <cell r="I370">
            <v>86763</v>
          </cell>
        </row>
        <row r="371">
          <cell r="I371">
            <v>54974</v>
          </cell>
        </row>
        <row r="372">
          <cell r="I372">
            <v>74728</v>
          </cell>
        </row>
        <row r="373">
          <cell r="I373">
            <v>88207</v>
          </cell>
        </row>
        <row r="374">
          <cell r="I374">
            <v>96878</v>
          </cell>
        </row>
        <row r="375">
          <cell r="I375">
            <v>49341</v>
          </cell>
        </row>
        <row r="376">
          <cell r="I376">
            <v>87757</v>
          </cell>
        </row>
        <row r="377">
          <cell r="I377">
            <v>113590</v>
          </cell>
        </row>
        <row r="378">
          <cell r="I378">
            <v>82897</v>
          </cell>
        </row>
        <row r="379">
          <cell r="I379">
            <v>69652</v>
          </cell>
        </row>
        <row r="380">
          <cell r="I380">
            <v>92754</v>
          </cell>
        </row>
        <row r="381">
          <cell r="I381">
            <v>65180</v>
          </cell>
        </row>
        <row r="382">
          <cell r="I382">
            <v>93081</v>
          </cell>
        </row>
        <row r="383">
          <cell r="I383">
            <v>91007</v>
          </cell>
        </row>
        <row r="384">
          <cell r="I384">
            <v>88127</v>
          </cell>
        </row>
        <row r="385">
          <cell r="I385">
            <v>70318</v>
          </cell>
        </row>
        <row r="386">
          <cell r="I386">
            <v>47884</v>
          </cell>
        </row>
        <row r="387">
          <cell r="I387">
            <v>71987</v>
          </cell>
        </row>
        <row r="388">
          <cell r="I388">
            <v>108773</v>
          </cell>
        </row>
        <row r="389">
          <cell r="I389">
            <v>115133</v>
          </cell>
        </row>
        <row r="390">
          <cell r="I390">
            <v>44417</v>
          </cell>
        </row>
        <row r="391">
          <cell r="I391">
            <v>107012</v>
          </cell>
        </row>
        <row r="392">
          <cell r="I392">
            <v>78597</v>
          </cell>
        </row>
        <row r="393">
          <cell r="I393">
            <v>77085</v>
          </cell>
        </row>
        <row r="394">
          <cell r="I394">
            <v>98031</v>
          </cell>
        </row>
        <row r="395">
          <cell r="I395">
            <v>59479</v>
          </cell>
        </row>
        <row r="396">
          <cell r="I396">
            <v>82566</v>
          </cell>
        </row>
        <row r="397">
          <cell r="I397">
            <v>90050</v>
          </cell>
        </row>
        <row r="398">
          <cell r="I398">
            <v>56447</v>
          </cell>
        </row>
        <row r="399">
          <cell r="I399">
            <v>76082</v>
          </cell>
        </row>
        <row r="400">
          <cell r="I400">
            <v>98535</v>
          </cell>
        </row>
        <row r="401">
          <cell r="I401">
            <v>44551</v>
          </cell>
        </row>
        <row r="402">
          <cell r="I402">
            <v>111797</v>
          </cell>
        </row>
        <row r="403">
          <cell r="I403">
            <v>40238</v>
          </cell>
        </row>
        <row r="404">
          <cell r="I404">
            <v>70077</v>
          </cell>
        </row>
        <row r="405">
          <cell r="I405">
            <v>107382</v>
          </cell>
        </row>
        <row r="406">
          <cell r="I406">
            <v>54413</v>
          </cell>
        </row>
        <row r="407">
          <cell r="I407">
            <v>40061</v>
          </cell>
        </row>
        <row r="408">
          <cell r="I408">
            <v>89039</v>
          </cell>
        </row>
        <row r="409">
          <cell r="I409">
            <v>41334</v>
          </cell>
        </row>
        <row r="410">
          <cell r="I410">
            <v>108930</v>
          </cell>
        </row>
        <row r="411">
          <cell r="I411">
            <v>78935</v>
          </cell>
        </row>
        <row r="412">
          <cell r="I412">
            <v>68187</v>
          </cell>
        </row>
        <row r="413">
          <cell r="I413">
            <v>56816</v>
          </cell>
        </row>
        <row r="414">
          <cell r="I414">
            <v>102232</v>
          </cell>
        </row>
        <row r="415">
          <cell r="I415">
            <v>99123</v>
          </cell>
        </row>
        <row r="416">
          <cell r="I416">
            <v>44686</v>
          </cell>
        </row>
        <row r="417">
          <cell r="I417">
            <v>104342</v>
          </cell>
        </row>
        <row r="418">
          <cell r="I418">
            <v>116236</v>
          </cell>
        </row>
        <row r="419">
          <cell r="I419">
            <v>63416</v>
          </cell>
        </row>
        <row r="420">
          <cell r="I420">
            <v>48319</v>
          </cell>
        </row>
        <row r="421">
          <cell r="I421">
            <v>82168</v>
          </cell>
        </row>
        <row r="422">
          <cell r="I422">
            <v>83994</v>
          </cell>
        </row>
        <row r="423">
          <cell r="I423">
            <v>45200</v>
          </cell>
        </row>
        <row r="424">
          <cell r="I424">
            <v>84722</v>
          </cell>
        </row>
        <row r="425">
          <cell r="I425">
            <v>57088</v>
          </cell>
        </row>
        <row r="426">
          <cell r="I426">
            <v>106181</v>
          </cell>
        </row>
        <row r="427">
          <cell r="I427">
            <v>117192</v>
          </cell>
        </row>
        <row r="428">
          <cell r="I428">
            <v>114670</v>
          </cell>
        </row>
        <row r="429">
          <cell r="I429">
            <v>116951</v>
          </cell>
        </row>
        <row r="430">
          <cell r="I430">
            <v>86123</v>
          </cell>
        </row>
        <row r="431">
          <cell r="I431">
            <v>68220</v>
          </cell>
        </row>
        <row r="432">
          <cell r="I432">
            <v>115147</v>
          </cell>
        </row>
        <row r="433">
          <cell r="I433">
            <v>68028</v>
          </cell>
        </row>
        <row r="434">
          <cell r="I434">
            <v>46732</v>
          </cell>
        </row>
        <row r="435">
          <cell r="I435">
            <v>37701</v>
          </cell>
        </row>
        <row r="436">
          <cell r="I436">
            <v>103930</v>
          </cell>
        </row>
        <row r="437">
          <cell r="I437">
            <v>83188</v>
          </cell>
        </row>
        <row r="438">
          <cell r="I438">
            <v>50616</v>
          </cell>
        </row>
        <row r="439">
          <cell r="I439">
            <v>80964</v>
          </cell>
        </row>
        <row r="440">
          <cell r="I440">
            <v>38806</v>
          </cell>
        </row>
        <row r="441">
          <cell r="I441">
            <v>71247</v>
          </cell>
        </row>
        <row r="442">
          <cell r="I442">
            <v>109197</v>
          </cell>
        </row>
        <row r="443">
          <cell r="I443">
            <v>77368</v>
          </cell>
        </row>
        <row r="444">
          <cell r="I444">
            <v>62102</v>
          </cell>
        </row>
        <row r="445">
          <cell r="I445">
            <v>66499</v>
          </cell>
        </row>
        <row r="446">
          <cell r="I446">
            <v>114326</v>
          </cell>
        </row>
        <row r="447">
          <cell r="I447">
            <v>98144</v>
          </cell>
        </row>
        <row r="448">
          <cell r="I448">
            <v>61804</v>
          </cell>
        </row>
        <row r="449">
          <cell r="I449">
            <v>42829</v>
          </cell>
        </row>
        <row r="450">
          <cell r="I450">
            <v>55874</v>
          </cell>
        </row>
        <row r="451">
          <cell r="I451">
            <v>110269</v>
          </cell>
        </row>
        <row r="452">
          <cell r="I452">
            <v>97118</v>
          </cell>
        </row>
        <row r="453">
          <cell r="I453">
            <v>73245</v>
          </cell>
        </row>
        <row r="454">
          <cell r="I454">
            <v>35589</v>
          </cell>
        </row>
        <row r="455">
          <cell r="I455">
            <v>79751</v>
          </cell>
        </row>
        <row r="456">
          <cell r="I456">
            <v>67994</v>
          </cell>
        </row>
        <row r="457">
          <cell r="I457">
            <v>51178</v>
          </cell>
        </row>
        <row r="458">
          <cell r="I458">
            <v>40759</v>
          </cell>
        </row>
        <row r="459">
          <cell r="I459">
            <v>98394</v>
          </cell>
        </row>
        <row r="460">
          <cell r="I460">
            <v>90148</v>
          </cell>
        </row>
        <row r="461">
          <cell r="I461">
            <v>63176</v>
          </cell>
        </row>
        <row r="462">
          <cell r="I462">
            <v>86434</v>
          </cell>
        </row>
        <row r="463">
          <cell r="I463">
            <v>70836</v>
          </cell>
        </row>
        <row r="464">
          <cell r="I464">
            <v>40805</v>
          </cell>
        </row>
        <row r="465">
          <cell r="I465">
            <v>117635</v>
          </cell>
        </row>
        <row r="466">
          <cell r="I466">
            <v>100678</v>
          </cell>
        </row>
        <row r="467">
          <cell r="I467">
            <v>76443</v>
          </cell>
        </row>
        <row r="468">
          <cell r="I468">
            <v>98210</v>
          </cell>
        </row>
        <row r="469">
          <cell r="I469">
            <v>83719</v>
          </cell>
        </row>
        <row r="470">
          <cell r="I470">
            <v>50965</v>
          </cell>
        </row>
        <row r="471">
          <cell r="I471">
            <v>113605</v>
          </cell>
        </row>
        <row r="472">
          <cell r="I472">
            <v>80135</v>
          </cell>
        </row>
        <row r="473">
          <cell r="I473">
            <v>56690</v>
          </cell>
        </row>
        <row r="474">
          <cell r="I474">
            <v>40070</v>
          </cell>
        </row>
        <row r="475">
          <cell r="I475">
            <v>83252</v>
          </cell>
        </row>
        <row r="476">
          <cell r="I476">
            <v>66939</v>
          </cell>
        </row>
        <row r="477">
          <cell r="I477">
            <v>51367</v>
          </cell>
        </row>
        <row r="478">
          <cell r="I478">
            <v>94212</v>
          </cell>
        </row>
        <row r="479">
          <cell r="I479">
            <v>47411</v>
          </cell>
        </row>
        <row r="480">
          <cell r="I480">
            <v>67896</v>
          </cell>
        </row>
        <row r="481">
          <cell r="I481">
            <v>81285</v>
          </cell>
        </row>
        <row r="482">
          <cell r="I482">
            <v>100041</v>
          </cell>
        </row>
        <row r="483">
          <cell r="I483">
            <v>88033</v>
          </cell>
        </row>
        <row r="484">
          <cell r="I484">
            <v>71291</v>
          </cell>
        </row>
        <row r="485">
          <cell r="I485">
            <v>48563</v>
          </cell>
        </row>
        <row r="486">
          <cell r="I486">
            <v>71454</v>
          </cell>
        </row>
        <row r="487">
          <cell r="I487">
            <v>44271</v>
          </cell>
        </row>
        <row r="488">
          <cell r="I488">
            <v>93401</v>
          </cell>
        </row>
        <row r="489">
          <cell r="I489">
            <v>56106</v>
          </cell>
        </row>
        <row r="490">
          <cell r="I490">
            <v>106273</v>
          </cell>
        </row>
        <row r="491">
          <cell r="I491">
            <v>105710</v>
          </cell>
        </row>
        <row r="492">
          <cell r="I492">
            <v>68751</v>
          </cell>
        </row>
        <row r="493">
          <cell r="I493">
            <v>63873</v>
          </cell>
        </row>
        <row r="494">
          <cell r="I494">
            <v>117465</v>
          </cell>
        </row>
        <row r="495">
          <cell r="I495">
            <v>59582</v>
          </cell>
        </row>
        <row r="496">
          <cell r="I496">
            <v>117932</v>
          </cell>
        </row>
        <row r="497">
          <cell r="I497">
            <v>95198</v>
          </cell>
        </row>
        <row r="498">
          <cell r="I498">
            <v>61647</v>
          </cell>
        </row>
        <row r="499">
          <cell r="I499">
            <v>41274</v>
          </cell>
        </row>
        <row r="500">
          <cell r="I500">
            <v>40450</v>
          </cell>
        </row>
        <row r="501">
          <cell r="I501">
            <v>42662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BA3D-A1DA-4C57-AA38-59689E3C0629}">
  <dimension ref="A1:U501"/>
  <sheetViews>
    <sheetView topLeftCell="B1" workbookViewId="0">
      <selection activeCell="S15" sqref="S15"/>
    </sheetView>
  </sheetViews>
  <sheetFormatPr defaultRowHeight="14.4" x14ac:dyDescent="0.3"/>
  <cols>
    <col min="1" max="1" width="11" bestFit="1" customWidth="1"/>
    <col min="2" max="2" width="9.77734375" bestFit="1" customWidth="1"/>
    <col min="3" max="3" width="9.44140625" bestFit="1" customWidth="1"/>
    <col min="4" max="4" width="7.109375" bestFit="1" customWidth="1"/>
    <col min="5" max="5" width="4" bestFit="1" customWidth="1"/>
    <col min="6" max="6" width="12.77734375" bestFit="1" customWidth="1"/>
    <col min="7" max="7" width="10.5546875" bestFit="1" customWidth="1"/>
    <col min="8" max="8" width="10.33203125" bestFit="1" customWidth="1"/>
    <col min="9" max="9" width="7" bestFit="1" customWidth="1"/>
    <col min="10" max="10" width="9.109375" bestFit="1" customWidth="1"/>
    <col min="11" max="11" width="26.77734375" bestFit="1" customWidth="1"/>
    <col min="12" max="12" width="7.21875" bestFit="1" customWidth="1"/>
    <col min="13" max="13" width="13.109375" bestFit="1" customWidth="1"/>
    <col min="14" max="15" width="12.88671875" bestFit="1" customWidth="1"/>
    <col min="17" max="17" width="10.5546875" bestFit="1" customWidth="1"/>
    <col min="18" max="18" width="15.77734375" bestFit="1" customWidth="1"/>
    <col min="21" max="21" width="10.554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14" t="s">
        <v>14</v>
      </c>
    </row>
    <row r="2" spans="1:21" x14ac:dyDescent="0.3">
      <c r="A2" s="4" t="s">
        <v>15</v>
      </c>
      <c r="B2" s="4" t="s">
        <v>16</v>
      </c>
      <c r="C2" s="4" t="s">
        <v>17</v>
      </c>
      <c r="D2" s="4" t="s">
        <v>18</v>
      </c>
      <c r="E2" s="4">
        <v>30</v>
      </c>
      <c r="F2" s="4" t="s">
        <v>19</v>
      </c>
      <c r="G2" s="4" t="s">
        <v>20</v>
      </c>
      <c r="H2" s="4" t="s">
        <v>21</v>
      </c>
      <c r="I2" s="4">
        <v>105257</v>
      </c>
      <c r="J2" s="4" t="s">
        <v>22</v>
      </c>
      <c r="K2" s="4" t="s">
        <v>23</v>
      </c>
      <c r="L2" s="4" t="s">
        <v>24</v>
      </c>
      <c r="M2" s="5" t="str">
        <f>IF([1]Employees!$I2&gt;=90000, "High", "Low")</f>
        <v>High</v>
      </c>
      <c r="N2" s="6" t="str" cm="1">
        <f t="array" ref="N2">_xlfn.IFS([1]Employees!$I2&gt;=90000, "High", [1]Employees!$I2&gt;=50000, "Medium", [1]Employees!$I2&lt;50000, "Low")</f>
        <v>High</v>
      </c>
      <c r="O2" s="15" t="str">
        <f>IF([1]Employees!$I2&gt;=90000, "High", IF([1]Employees!$I2&gt;=50000, "Medium", "Low"))</f>
        <v>High</v>
      </c>
    </row>
    <row r="3" spans="1:21" x14ac:dyDescent="0.3">
      <c r="A3" s="4" t="s">
        <v>25</v>
      </c>
      <c r="B3" s="4" t="s">
        <v>16</v>
      </c>
      <c r="C3" s="4" t="s">
        <v>26</v>
      </c>
      <c r="D3" s="4" t="s">
        <v>27</v>
      </c>
      <c r="E3" s="4">
        <v>48</v>
      </c>
      <c r="F3" s="4" t="s">
        <v>28</v>
      </c>
      <c r="G3" s="4" t="s">
        <v>29</v>
      </c>
      <c r="H3" s="4" t="s">
        <v>30</v>
      </c>
      <c r="I3" s="4">
        <v>97903</v>
      </c>
      <c r="J3" s="4" t="s">
        <v>22</v>
      </c>
      <c r="K3" s="4" t="s">
        <v>31</v>
      </c>
      <c r="L3" s="4" t="s">
        <v>24</v>
      </c>
      <c r="M3" s="5" t="str">
        <f>IF([1]Employees!$I3&gt;=90000, "High", "Low")</f>
        <v>High</v>
      </c>
      <c r="N3" s="6" t="str" cm="1">
        <f t="array" ref="N3">_xlfn.IFS([1]Employees!$I3&gt;=90000, "High", [1]Employees!$I3&gt;=50000, "Medium", [1]Employees!$I3&lt;50000, "Low")</f>
        <v>High</v>
      </c>
      <c r="O3" s="15" t="str">
        <f>IF([1]Employees!$I3&gt;=90000, "High", IF([1]Employees!$I3&gt;=50000, "Medium", "Low"))</f>
        <v>High</v>
      </c>
      <c r="Q3" t="s">
        <v>24</v>
      </c>
      <c r="R3" s="10" t="s">
        <v>1511</v>
      </c>
      <c r="U3" s="19" t="s">
        <v>20</v>
      </c>
    </row>
    <row r="4" spans="1:21" x14ac:dyDescent="0.3">
      <c r="A4" s="4" t="s">
        <v>32</v>
      </c>
      <c r="B4" s="4" t="s">
        <v>33</v>
      </c>
      <c r="C4" s="4" t="s">
        <v>26</v>
      </c>
      <c r="D4" s="4" t="s">
        <v>27</v>
      </c>
      <c r="E4" s="4">
        <v>48</v>
      </c>
      <c r="F4" s="4" t="s">
        <v>34</v>
      </c>
      <c r="G4" s="4" t="s">
        <v>35</v>
      </c>
      <c r="H4" s="4" t="s">
        <v>36</v>
      </c>
      <c r="I4" s="4">
        <v>73429</v>
      </c>
      <c r="J4" s="4" t="s">
        <v>37</v>
      </c>
      <c r="K4" s="4" t="s">
        <v>38</v>
      </c>
      <c r="L4" s="4" t="s">
        <v>39</v>
      </c>
      <c r="M4" s="5" t="str">
        <f>IF([1]Employees!$I4&gt;=90000, "High", "Low")</f>
        <v>Low</v>
      </c>
      <c r="N4" s="6" t="str" cm="1">
        <f t="array" ref="N4">_xlfn.IFS([1]Employees!$I4&gt;=90000, "High", [1]Employees!$I4&gt;=50000, "Medium", [1]Employees!$I4&lt;50000, "Low")</f>
        <v>Medium</v>
      </c>
      <c r="O4" s="15" t="str">
        <f>IF([1]Employees!$I4&gt;=90000, "High", IF([1]Employees!$I4&gt;=50000, "Medium", "Low"))</f>
        <v>Medium</v>
      </c>
      <c r="Q4" t="s">
        <v>39</v>
      </c>
      <c r="R4" s="11">
        <f>COUNTIF(L2:L501,Q3)</f>
        <v>237</v>
      </c>
      <c r="U4" s="19" t="s">
        <v>29</v>
      </c>
    </row>
    <row r="5" spans="1:21" x14ac:dyDescent="0.3">
      <c r="A5" s="4" t="s">
        <v>40</v>
      </c>
      <c r="B5" s="4" t="s">
        <v>41</v>
      </c>
      <c r="C5" s="4" t="s">
        <v>17</v>
      </c>
      <c r="D5" s="4" t="s">
        <v>18</v>
      </c>
      <c r="E5" s="4">
        <v>50</v>
      </c>
      <c r="F5" s="4" t="s">
        <v>42</v>
      </c>
      <c r="G5" s="4" t="s">
        <v>43</v>
      </c>
      <c r="H5" s="4" t="s">
        <v>44</v>
      </c>
      <c r="I5" s="4">
        <v>99336</v>
      </c>
      <c r="J5" s="4" t="s">
        <v>37</v>
      </c>
      <c r="K5" s="4" t="s">
        <v>45</v>
      </c>
      <c r="L5" s="4" t="s">
        <v>24</v>
      </c>
      <c r="M5" s="5" t="str">
        <f>IF([1]Employees!$I5&gt;=90000, "High", "Low")</f>
        <v>High</v>
      </c>
      <c r="N5" s="6" t="str" cm="1">
        <f t="array" ref="N5">_xlfn.IFS([1]Employees!$I5&gt;=90000, "High", [1]Employees!$I5&gt;=50000, "Medium", [1]Employees!$I5&lt;50000, "Low")</f>
        <v>High</v>
      </c>
      <c r="O5" s="15" t="str">
        <f>IF([1]Employees!$I5&gt;=90000, "High", IF([1]Employees!$I5&gt;=50000, "Medium", "Low"))</f>
        <v>High</v>
      </c>
      <c r="U5" s="19" t="s">
        <v>35</v>
      </c>
    </row>
    <row r="6" spans="1:21" x14ac:dyDescent="0.3">
      <c r="A6" s="4" t="s">
        <v>46</v>
      </c>
      <c r="B6" s="4" t="s">
        <v>47</v>
      </c>
      <c r="C6" s="4" t="s">
        <v>48</v>
      </c>
      <c r="D6" s="4" t="s">
        <v>27</v>
      </c>
      <c r="E6" s="4">
        <v>60</v>
      </c>
      <c r="F6" s="4" t="s">
        <v>19</v>
      </c>
      <c r="G6" s="4" t="s">
        <v>35</v>
      </c>
      <c r="H6" s="4" t="s">
        <v>49</v>
      </c>
      <c r="I6" s="4">
        <v>105020</v>
      </c>
      <c r="J6" s="4" t="s">
        <v>37</v>
      </c>
      <c r="K6" s="4" t="s">
        <v>50</v>
      </c>
      <c r="L6" s="4" t="s">
        <v>24</v>
      </c>
      <c r="M6" s="5" t="str">
        <f>IF([1]Employees!$I6&gt;=90000, "High", "Low")</f>
        <v>High</v>
      </c>
      <c r="N6" s="6" t="str" cm="1">
        <f t="array" ref="N6">_xlfn.IFS([1]Employees!$I6&gt;=90000, "High", [1]Employees!$I6&gt;=50000, "Medium", [1]Employees!$I6&lt;50000, "Low")</f>
        <v>High</v>
      </c>
      <c r="O6" s="15" t="str">
        <f>IF([1]Employees!$I6&gt;=90000, "High", IF([1]Employees!$I6&gt;=50000, "Medium", "Low"))</f>
        <v>High</v>
      </c>
      <c r="Q6" s="17" t="s">
        <v>1512</v>
      </c>
      <c r="R6" s="17" t="s">
        <v>11</v>
      </c>
      <c r="S6" s="17" t="s">
        <v>1513</v>
      </c>
      <c r="U6" s="19" t="s">
        <v>43</v>
      </c>
    </row>
    <row r="7" spans="1:21" x14ac:dyDescent="0.3">
      <c r="A7" s="4" t="s">
        <v>51</v>
      </c>
      <c r="B7" s="4" t="s">
        <v>52</v>
      </c>
      <c r="C7" s="4" t="s">
        <v>17</v>
      </c>
      <c r="D7" s="4" t="s">
        <v>27</v>
      </c>
      <c r="E7" s="4">
        <v>33</v>
      </c>
      <c r="F7" s="4" t="s">
        <v>53</v>
      </c>
      <c r="G7" s="4" t="s">
        <v>35</v>
      </c>
      <c r="H7" s="4" t="s">
        <v>54</v>
      </c>
      <c r="I7" s="4">
        <v>93173</v>
      </c>
      <c r="J7" s="4" t="s">
        <v>37</v>
      </c>
      <c r="K7" s="4" t="s">
        <v>55</v>
      </c>
      <c r="L7" s="4" t="s">
        <v>24</v>
      </c>
      <c r="M7" s="5" t="str">
        <f>IF([1]Employees!$I7&gt;=90000, "High", "Low")</f>
        <v>High</v>
      </c>
      <c r="N7" s="6" t="str" cm="1">
        <f t="array" ref="N7">_xlfn.IFS([1]Employees!$I7&gt;=90000, "High", [1]Employees!$I7&gt;=50000, "Medium", [1]Employees!$I7&lt;50000, "Low")</f>
        <v>High</v>
      </c>
      <c r="O7" s="15" t="str">
        <f>IF([1]Employees!$I7&gt;=90000, "High", IF([1]Employees!$I7&gt;=50000, "Medium", "Low"))</f>
        <v>High</v>
      </c>
      <c r="Q7" s="18" t="s">
        <v>35</v>
      </c>
      <c r="R7" s="18" t="s">
        <v>24</v>
      </c>
      <c r="S7" s="18">
        <f>COUNTIFS(G2:G501,Q7,L2:L501,R7)</f>
        <v>39</v>
      </c>
      <c r="U7" s="19" t="s">
        <v>20</v>
      </c>
    </row>
    <row r="8" spans="1:21" x14ac:dyDescent="0.3">
      <c r="A8" s="4" t="s">
        <v>56</v>
      </c>
      <c r="B8" s="4" t="s">
        <v>57</v>
      </c>
      <c r="C8" s="4" t="s">
        <v>48</v>
      </c>
      <c r="D8" s="4" t="s">
        <v>27</v>
      </c>
      <c r="E8" s="4">
        <v>52</v>
      </c>
      <c r="F8" s="4" t="s">
        <v>42</v>
      </c>
      <c r="G8" s="4" t="s">
        <v>20</v>
      </c>
      <c r="H8" s="4" t="s">
        <v>58</v>
      </c>
      <c r="I8" s="4">
        <v>106626</v>
      </c>
      <c r="J8" s="4" t="s">
        <v>37</v>
      </c>
      <c r="K8" s="4" t="s">
        <v>59</v>
      </c>
      <c r="L8" s="4" t="s">
        <v>24</v>
      </c>
      <c r="M8" s="5" t="str">
        <f>IF([1]Employees!$I8&gt;=90000, "High", "Low")</f>
        <v>High</v>
      </c>
      <c r="N8" s="6" t="str" cm="1">
        <f t="array" ref="N8">_xlfn.IFS([1]Employees!$I8&gt;=90000, "High", [1]Employees!$I8&gt;=50000, "Medium", [1]Employees!$I8&lt;50000, "Low")</f>
        <v>High</v>
      </c>
      <c r="O8" s="15" t="str">
        <f>IF([1]Employees!$I8&gt;=90000, "High", IF([1]Employees!$I8&gt;=50000, "Medium", "Low"))</f>
        <v>High</v>
      </c>
      <c r="U8" s="19" t="s">
        <v>111</v>
      </c>
    </row>
    <row r="9" spans="1:21" x14ac:dyDescent="0.3">
      <c r="A9" s="4" t="s">
        <v>60</v>
      </c>
      <c r="B9" s="4" t="s">
        <v>61</v>
      </c>
      <c r="C9" s="4" t="s">
        <v>17</v>
      </c>
      <c r="D9" s="4" t="s">
        <v>18</v>
      </c>
      <c r="E9" s="4">
        <v>42</v>
      </c>
      <c r="F9" s="4" t="s">
        <v>53</v>
      </c>
      <c r="G9" s="4" t="s">
        <v>43</v>
      </c>
      <c r="H9" s="4" t="s">
        <v>62</v>
      </c>
      <c r="I9" s="4">
        <v>114547</v>
      </c>
      <c r="J9" s="4" t="s">
        <v>63</v>
      </c>
      <c r="K9" s="4" t="s">
        <v>64</v>
      </c>
      <c r="L9" s="4" t="s">
        <v>39</v>
      </c>
      <c r="M9" s="5" t="str">
        <f>IF([1]Employees!$I9&gt;=90000, "High", "Low")</f>
        <v>High</v>
      </c>
      <c r="N9" s="6" t="str" cm="1">
        <f t="array" ref="N9">_xlfn.IFS([1]Employees!$I9&gt;=90000, "High", [1]Employees!$I9&gt;=50000, "Medium", [1]Employees!$I9&lt;50000, "Low")</f>
        <v>High</v>
      </c>
      <c r="O9" s="15" t="str">
        <f>IF([1]Employees!$I9&gt;=90000, "High", IF([1]Employees!$I9&gt;=50000, "Medium", "Low"))</f>
        <v>High</v>
      </c>
    </row>
    <row r="10" spans="1:21" x14ac:dyDescent="0.3">
      <c r="A10" s="4" t="s">
        <v>65</v>
      </c>
      <c r="B10" s="4" t="s">
        <v>61</v>
      </c>
      <c r="C10" s="4" t="s">
        <v>66</v>
      </c>
      <c r="D10" s="4" t="s">
        <v>18</v>
      </c>
      <c r="E10" s="4">
        <v>40</v>
      </c>
      <c r="F10" s="4" t="s">
        <v>19</v>
      </c>
      <c r="G10" s="4" t="s">
        <v>35</v>
      </c>
      <c r="H10" s="4" t="s">
        <v>67</v>
      </c>
      <c r="I10" s="4">
        <v>51139</v>
      </c>
      <c r="J10" s="4" t="s">
        <v>68</v>
      </c>
      <c r="K10" s="4" t="s">
        <v>69</v>
      </c>
      <c r="L10" s="4" t="s">
        <v>39</v>
      </c>
      <c r="M10" s="5" t="str">
        <f>IF([1]Employees!$I10&gt;=90000, "High", "Low")</f>
        <v>Low</v>
      </c>
      <c r="N10" s="6" t="str" cm="1">
        <f t="array" ref="N10">_xlfn.IFS([1]Employees!$I10&gt;=90000, "High", [1]Employees!$I10&gt;=50000, "Medium", [1]Employees!$I10&lt;50000, "Low")</f>
        <v>Medium</v>
      </c>
      <c r="O10" s="15" t="str">
        <f>IF([1]Employees!$I10&gt;=90000, "High", IF([1]Employees!$I10&gt;=50000, "Medium", "Low"))</f>
        <v>Medium</v>
      </c>
    </row>
    <row r="11" spans="1:21" x14ac:dyDescent="0.3">
      <c r="A11" s="4" t="s">
        <v>70</v>
      </c>
      <c r="B11" s="4" t="s">
        <v>16</v>
      </c>
      <c r="C11" s="4" t="s">
        <v>26</v>
      </c>
      <c r="D11" s="4" t="s">
        <v>18</v>
      </c>
      <c r="E11" s="4">
        <v>25</v>
      </c>
      <c r="F11" s="4" t="s">
        <v>42</v>
      </c>
      <c r="G11" s="4" t="s">
        <v>20</v>
      </c>
      <c r="H11" s="4" t="s">
        <v>71</v>
      </c>
      <c r="I11" s="4">
        <v>60673</v>
      </c>
      <c r="J11" s="4" t="s">
        <v>68</v>
      </c>
      <c r="K11" s="4" t="s">
        <v>72</v>
      </c>
      <c r="L11" s="4" t="s">
        <v>39</v>
      </c>
      <c r="M11" s="5" t="str">
        <f>IF([1]Employees!$I11&gt;=90000, "High", "Low")</f>
        <v>Low</v>
      </c>
      <c r="N11" s="6" t="str" cm="1">
        <f t="array" ref="N11">_xlfn.IFS([1]Employees!$I11&gt;=90000, "High", [1]Employees!$I11&gt;=50000, "Medium", [1]Employees!$I11&lt;50000, "Low")</f>
        <v>Medium</v>
      </c>
      <c r="O11" s="15" t="str">
        <f>IF([1]Employees!$I11&gt;=90000, "High", IF([1]Employees!$I11&gt;=50000, "Medium", "Low"))</f>
        <v>Medium</v>
      </c>
    </row>
    <row r="12" spans="1:21" x14ac:dyDescent="0.3">
      <c r="A12" s="4" t="s">
        <v>73</v>
      </c>
      <c r="B12" s="4" t="s">
        <v>74</v>
      </c>
      <c r="C12" s="4" t="s">
        <v>26</v>
      </c>
      <c r="D12" s="4" t="s">
        <v>18</v>
      </c>
      <c r="E12" s="4">
        <v>25</v>
      </c>
      <c r="F12" s="4" t="s">
        <v>42</v>
      </c>
      <c r="G12" s="4" t="s">
        <v>35</v>
      </c>
      <c r="H12" s="4" t="s">
        <v>75</v>
      </c>
      <c r="I12" s="4">
        <v>65690</v>
      </c>
      <c r="J12" s="4" t="s">
        <v>22</v>
      </c>
      <c r="K12" s="4" t="s">
        <v>76</v>
      </c>
      <c r="L12" s="4" t="s">
        <v>39</v>
      </c>
      <c r="M12" s="5" t="str">
        <f>IF([1]Employees!$I12&gt;=90000, "High", "Low")</f>
        <v>Low</v>
      </c>
      <c r="N12" s="6" t="str" cm="1">
        <f t="array" ref="N12">_xlfn.IFS([1]Employees!$I12&gt;=90000, "High", [1]Employees!$I12&gt;=50000, "Medium", [1]Employees!$I12&lt;50000, "Low")</f>
        <v>Medium</v>
      </c>
      <c r="O12" s="15" t="str">
        <f>IF([1]Employees!$I12&gt;=90000, "High", IF([1]Employees!$I12&gt;=50000, "Medium", "Low"))</f>
        <v>Medium</v>
      </c>
    </row>
    <row r="13" spans="1:21" x14ac:dyDescent="0.3">
      <c r="A13" s="4" t="s">
        <v>77</v>
      </c>
      <c r="B13" s="4" t="s">
        <v>33</v>
      </c>
      <c r="C13" s="4" t="s">
        <v>48</v>
      </c>
      <c r="D13" s="4" t="s">
        <v>27</v>
      </c>
      <c r="E13" s="4">
        <v>49</v>
      </c>
      <c r="F13" s="4" t="s">
        <v>28</v>
      </c>
      <c r="G13" s="4" t="s">
        <v>29</v>
      </c>
      <c r="H13" s="4" t="s">
        <v>78</v>
      </c>
      <c r="I13" s="4">
        <v>63823</v>
      </c>
      <c r="J13" s="4" t="s">
        <v>68</v>
      </c>
      <c r="K13" s="4" t="s">
        <v>79</v>
      </c>
      <c r="L13" s="4" t="s">
        <v>24</v>
      </c>
      <c r="M13" s="5" t="str">
        <f>IF([1]Employees!$I13&gt;=90000, "High", "Low")</f>
        <v>Low</v>
      </c>
      <c r="N13" s="6" t="str" cm="1">
        <f t="array" ref="N13">_xlfn.IFS([1]Employees!$I13&gt;=90000, "High", [1]Employees!$I13&gt;=50000, "Medium", [1]Employees!$I13&lt;50000, "Low")</f>
        <v>Medium</v>
      </c>
      <c r="O13" s="15" t="str">
        <f>IF([1]Employees!$I13&gt;=90000, "High", IF([1]Employees!$I13&gt;=50000, "Medium", "Low"))</f>
        <v>Medium</v>
      </c>
    </row>
    <row r="14" spans="1:21" x14ac:dyDescent="0.3">
      <c r="A14" s="4" t="s">
        <v>80</v>
      </c>
      <c r="B14" s="4" t="s">
        <v>33</v>
      </c>
      <c r="C14" s="4" t="s">
        <v>81</v>
      </c>
      <c r="D14" s="4" t="s">
        <v>18</v>
      </c>
      <c r="E14" s="4">
        <v>56</v>
      </c>
      <c r="F14" s="4" t="s">
        <v>42</v>
      </c>
      <c r="G14" s="4" t="s">
        <v>20</v>
      </c>
      <c r="H14" s="4" t="s">
        <v>82</v>
      </c>
      <c r="I14" s="4">
        <v>49557</v>
      </c>
      <c r="J14" s="4" t="s">
        <v>83</v>
      </c>
      <c r="K14" s="4" t="s">
        <v>84</v>
      </c>
      <c r="L14" s="4" t="s">
        <v>39</v>
      </c>
      <c r="M14" s="5" t="str">
        <f>IF([1]Employees!$I14&gt;=90000, "High", "Low")</f>
        <v>Low</v>
      </c>
      <c r="N14" s="6" t="str" cm="1">
        <f t="array" ref="N14">_xlfn.IFS([1]Employees!$I14&gt;=90000, "High", [1]Employees!$I14&gt;=50000, "Medium", [1]Employees!$I14&lt;50000, "Low")</f>
        <v>Low</v>
      </c>
      <c r="O14" s="15" t="str">
        <f>IF([1]Employees!$I14&gt;=90000, "High", IF([1]Employees!$I14&gt;=50000, "Medium", "Low"))</f>
        <v>Low</v>
      </c>
    </row>
    <row r="15" spans="1:21" x14ac:dyDescent="0.3">
      <c r="A15" s="4" t="s">
        <v>85</v>
      </c>
      <c r="B15" s="4" t="s">
        <v>33</v>
      </c>
      <c r="C15" s="4" t="s">
        <v>86</v>
      </c>
      <c r="D15" s="4" t="s">
        <v>27</v>
      </c>
      <c r="E15" s="4">
        <v>44</v>
      </c>
      <c r="F15" s="4" t="s">
        <v>19</v>
      </c>
      <c r="G15" s="4" t="s">
        <v>35</v>
      </c>
      <c r="H15" s="4" t="s">
        <v>87</v>
      </c>
      <c r="I15" s="4">
        <v>116901</v>
      </c>
      <c r="J15" s="4" t="s">
        <v>68</v>
      </c>
      <c r="K15" s="4" t="s">
        <v>88</v>
      </c>
      <c r="L15" s="4" t="s">
        <v>24</v>
      </c>
      <c r="M15" s="5" t="str">
        <f>IF([1]Employees!$I15&gt;=90000, "High", "Low")</f>
        <v>High</v>
      </c>
      <c r="N15" s="6" t="str" cm="1">
        <f t="array" ref="N15">_xlfn.IFS([1]Employees!$I15&gt;=90000, "High", [1]Employees!$I15&gt;=50000, "Medium", [1]Employees!$I15&lt;50000, "Low")</f>
        <v>High</v>
      </c>
      <c r="O15" s="15" t="str">
        <f>IF([1]Employees!$I15&gt;=90000, "High", IF([1]Employees!$I15&gt;=50000, "Medium", "Low"))</f>
        <v>High</v>
      </c>
    </row>
    <row r="16" spans="1:21" x14ac:dyDescent="0.3">
      <c r="A16" s="4" t="s">
        <v>89</v>
      </c>
      <c r="B16" s="4" t="s">
        <v>41</v>
      </c>
      <c r="C16" s="4" t="s">
        <v>86</v>
      </c>
      <c r="D16" s="4" t="s">
        <v>18</v>
      </c>
      <c r="E16" s="4">
        <v>55</v>
      </c>
      <c r="F16" s="4" t="s">
        <v>53</v>
      </c>
      <c r="G16" s="4" t="s">
        <v>20</v>
      </c>
      <c r="H16" s="4" t="s">
        <v>90</v>
      </c>
      <c r="I16" s="4">
        <v>85190</v>
      </c>
      <c r="J16" s="4" t="s">
        <v>63</v>
      </c>
      <c r="K16" s="4" t="s">
        <v>91</v>
      </c>
      <c r="L16" s="4" t="s">
        <v>39</v>
      </c>
      <c r="M16" s="5" t="str">
        <f>IF([1]Employees!$I16&gt;=90000, "High", "Low")</f>
        <v>Low</v>
      </c>
      <c r="N16" s="6" t="str" cm="1">
        <f t="array" ref="N16">_xlfn.IFS([1]Employees!$I16&gt;=90000, "High", [1]Employees!$I16&gt;=50000, "Medium", [1]Employees!$I16&lt;50000, "Low")</f>
        <v>Medium</v>
      </c>
      <c r="O16" s="15" t="str">
        <f>IF([1]Employees!$I16&gt;=90000, "High", IF([1]Employees!$I16&gt;=50000, "Medium", "Low"))</f>
        <v>Medium</v>
      </c>
    </row>
    <row r="17" spans="1:15" x14ac:dyDescent="0.3">
      <c r="A17" s="4" t="s">
        <v>92</v>
      </c>
      <c r="B17" s="4" t="s">
        <v>57</v>
      </c>
      <c r="C17" s="4" t="s">
        <v>93</v>
      </c>
      <c r="D17" s="4" t="s">
        <v>18</v>
      </c>
      <c r="E17" s="4">
        <v>30</v>
      </c>
      <c r="F17" s="4" t="s">
        <v>34</v>
      </c>
      <c r="G17" s="4" t="s">
        <v>35</v>
      </c>
      <c r="H17" s="4" t="s">
        <v>94</v>
      </c>
      <c r="I17" s="4">
        <v>95723</v>
      </c>
      <c r="J17" s="4" t="s">
        <v>68</v>
      </c>
      <c r="K17" s="4" t="s">
        <v>95</v>
      </c>
      <c r="L17" s="4" t="s">
        <v>39</v>
      </c>
      <c r="M17" s="5" t="str">
        <f>IF([1]Employees!$I17&gt;=90000, "High", "Low")</f>
        <v>High</v>
      </c>
      <c r="N17" s="6" t="str" cm="1">
        <f t="array" ref="N17">_xlfn.IFS([1]Employees!$I17&gt;=90000, "High", [1]Employees!$I17&gt;=50000, "Medium", [1]Employees!$I17&lt;50000, "Low")</f>
        <v>High</v>
      </c>
      <c r="O17" s="15" t="str">
        <f>IF([1]Employees!$I17&gt;=90000, "High", IF([1]Employees!$I17&gt;=50000, "Medium", "Low"))</f>
        <v>High</v>
      </c>
    </row>
    <row r="18" spans="1:15" x14ac:dyDescent="0.3">
      <c r="A18" s="4" t="s">
        <v>96</v>
      </c>
      <c r="B18" s="4" t="s">
        <v>97</v>
      </c>
      <c r="C18" s="4" t="s">
        <v>98</v>
      </c>
      <c r="D18" s="4" t="s">
        <v>18</v>
      </c>
      <c r="E18" s="4">
        <v>51</v>
      </c>
      <c r="F18" s="4" t="s">
        <v>34</v>
      </c>
      <c r="G18" s="4" t="s">
        <v>29</v>
      </c>
      <c r="H18" s="4" t="s">
        <v>99</v>
      </c>
      <c r="I18" s="4">
        <v>35234</v>
      </c>
      <c r="J18" s="4" t="s">
        <v>63</v>
      </c>
      <c r="K18" s="4" t="s">
        <v>100</v>
      </c>
      <c r="L18" s="4" t="s">
        <v>39</v>
      </c>
      <c r="M18" s="5" t="str">
        <f>IF([1]Employees!$I18&gt;=90000, "High", "Low")</f>
        <v>Low</v>
      </c>
      <c r="N18" s="6" t="str" cm="1">
        <f t="array" ref="N18">_xlfn.IFS([1]Employees!$I18&gt;=90000, "High", [1]Employees!$I18&gt;=50000, "Medium", [1]Employees!$I18&lt;50000, "Low")</f>
        <v>Low</v>
      </c>
      <c r="O18" s="15" t="str">
        <f>IF([1]Employees!$I18&gt;=90000, "High", IF([1]Employees!$I18&gt;=50000, "Medium", "Low"))</f>
        <v>Low</v>
      </c>
    </row>
    <row r="19" spans="1:15" x14ac:dyDescent="0.3">
      <c r="A19" s="4" t="s">
        <v>101</v>
      </c>
      <c r="B19" s="4" t="s">
        <v>61</v>
      </c>
      <c r="C19" s="4" t="s">
        <v>26</v>
      </c>
      <c r="D19" s="4" t="s">
        <v>27</v>
      </c>
      <c r="E19" s="4">
        <v>38</v>
      </c>
      <c r="F19" s="4" t="s">
        <v>19</v>
      </c>
      <c r="G19" s="4" t="s">
        <v>29</v>
      </c>
      <c r="H19" s="4" t="s">
        <v>102</v>
      </c>
      <c r="I19" s="4">
        <v>102733</v>
      </c>
      <c r="J19" s="4" t="s">
        <v>22</v>
      </c>
      <c r="K19" s="4" t="s">
        <v>103</v>
      </c>
      <c r="L19" s="4" t="s">
        <v>39</v>
      </c>
      <c r="M19" s="5" t="str">
        <f>IF([1]Employees!$I19&gt;=90000, "High", "Low")</f>
        <v>High</v>
      </c>
      <c r="N19" s="6" t="str" cm="1">
        <f t="array" ref="N19">_xlfn.IFS([1]Employees!$I19&gt;=90000, "High", [1]Employees!$I19&gt;=50000, "Medium", [1]Employees!$I19&lt;50000, "Low")</f>
        <v>High</v>
      </c>
      <c r="O19" s="15" t="str">
        <f>IF([1]Employees!$I19&gt;=90000, "High", IF([1]Employees!$I19&gt;=50000, "Medium", "Low"))</f>
        <v>High</v>
      </c>
    </row>
    <row r="20" spans="1:15" x14ac:dyDescent="0.3">
      <c r="A20" s="4" t="s">
        <v>104</v>
      </c>
      <c r="B20" s="4" t="s">
        <v>33</v>
      </c>
      <c r="C20" s="4" t="s">
        <v>81</v>
      </c>
      <c r="D20" s="4" t="s">
        <v>18</v>
      </c>
      <c r="E20" s="4">
        <v>46</v>
      </c>
      <c r="F20" s="4" t="s">
        <v>19</v>
      </c>
      <c r="G20" s="4" t="s">
        <v>43</v>
      </c>
      <c r="H20" s="4" t="s">
        <v>105</v>
      </c>
      <c r="I20" s="4">
        <v>76829</v>
      </c>
      <c r="J20" s="4" t="s">
        <v>68</v>
      </c>
      <c r="K20" s="4" t="s">
        <v>106</v>
      </c>
      <c r="L20" s="4" t="s">
        <v>24</v>
      </c>
      <c r="M20" s="5" t="str">
        <f>IF([1]Employees!$I20&gt;=90000, "High", "Low")</f>
        <v>Low</v>
      </c>
      <c r="N20" s="6" t="str" cm="1">
        <f t="array" ref="N20">_xlfn.IFS([1]Employees!$I20&gt;=90000, "High", [1]Employees!$I20&gt;=50000, "Medium", [1]Employees!$I20&lt;50000, "Low")</f>
        <v>Medium</v>
      </c>
      <c r="O20" s="15" t="str">
        <f>IF([1]Employees!$I20&gt;=90000, "High", IF([1]Employees!$I20&gt;=50000, "Medium", "Low"))</f>
        <v>Medium</v>
      </c>
    </row>
    <row r="21" spans="1:15" x14ac:dyDescent="0.3">
      <c r="A21" s="4" t="s">
        <v>107</v>
      </c>
      <c r="B21" s="4" t="s">
        <v>97</v>
      </c>
      <c r="C21" s="4" t="s">
        <v>17</v>
      </c>
      <c r="D21" s="4" t="s">
        <v>27</v>
      </c>
      <c r="E21" s="4">
        <v>60</v>
      </c>
      <c r="F21" s="4" t="s">
        <v>42</v>
      </c>
      <c r="G21" s="4" t="s">
        <v>35</v>
      </c>
      <c r="H21" s="4" t="s">
        <v>108</v>
      </c>
      <c r="I21" s="4">
        <v>69718</v>
      </c>
      <c r="J21" s="4" t="s">
        <v>37</v>
      </c>
      <c r="K21" s="4" t="s">
        <v>109</v>
      </c>
      <c r="L21" s="4" t="s">
        <v>39</v>
      </c>
      <c r="M21" s="5" t="str">
        <f>IF([1]Employees!$I21&gt;=90000, "High", "Low")</f>
        <v>Low</v>
      </c>
      <c r="N21" s="6" t="str" cm="1">
        <f t="array" ref="N21">_xlfn.IFS([1]Employees!$I21&gt;=90000, "High", [1]Employees!$I21&gt;=50000, "Medium", [1]Employees!$I21&lt;50000, "Low")</f>
        <v>Medium</v>
      </c>
      <c r="O21" s="15" t="str">
        <f>IF([1]Employees!$I21&gt;=90000, "High", IF([1]Employees!$I21&gt;=50000, "Medium", "Low"))</f>
        <v>Medium</v>
      </c>
    </row>
    <row r="22" spans="1:15" x14ac:dyDescent="0.3">
      <c r="A22" s="4" t="s">
        <v>110</v>
      </c>
      <c r="B22" s="4" t="s">
        <v>97</v>
      </c>
      <c r="C22" s="4" t="s">
        <v>86</v>
      </c>
      <c r="D22" s="4" t="s">
        <v>18</v>
      </c>
      <c r="E22" s="4">
        <v>24</v>
      </c>
      <c r="F22" s="4" t="s">
        <v>34</v>
      </c>
      <c r="G22" s="4" t="s">
        <v>111</v>
      </c>
      <c r="H22" s="4" t="s">
        <v>112</v>
      </c>
      <c r="I22" s="4">
        <v>90834</v>
      </c>
      <c r="J22" s="4" t="s">
        <v>83</v>
      </c>
      <c r="K22" s="4" t="s">
        <v>113</v>
      </c>
      <c r="L22" s="4" t="s">
        <v>24</v>
      </c>
      <c r="M22" s="5" t="str">
        <f>IF([1]Employees!$I22&gt;=90000, "High", "Low")</f>
        <v>High</v>
      </c>
      <c r="N22" s="6" t="str" cm="1">
        <f t="array" ref="N22">_xlfn.IFS([1]Employees!$I22&gt;=90000, "High", [1]Employees!$I22&gt;=50000, "Medium", [1]Employees!$I22&lt;50000, "Low")</f>
        <v>High</v>
      </c>
      <c r="O22" s="15" t="str">
        <f>IF([1]Employees!$I22&gt;=90000, "High", IF([1]Employees!$I22&gt;=50000, "Medium", "Low"))</f>
        <v>High</v>
      </c>
    </row>
    <row r="23" spans="1:15" x14ac:dyDescent="0.3">
      <c r="A23" s="4" t="s">
        <v>114</v>
      </c>
      <c r="B23" s="4" t="s">
        <v>16</v>
      </c>
      <c r="C23" s="4" t="s">
        <v>17</v>
      </c>
      <c r="D23" s="4" t="s">
        <v>27</v>
      </c>
      <c r="E23" s="4">
        <v>51</v>
      </c>
      <c r="F23" s="4" t="s">
        <v>19</v>
      </c>
      <c r="G23" s="4" t="s">
        <v>111</v>
      </c>
      <c r="H23" s="4" t="s">
        <v>115</v>
      </c>
      <c r="I23" s="4">
        <v>51631</v>
      </c>
      <c r="J23" s="4" t="s">
        <v>68</v>
      </c>
      <c r="K23" s="4" t="s">
        <v>116</v>
      </c>
      <c r="L23" s="4" t="s">
        <v>39</v>
      </c>
      <c r="M23" s="5" t="str">
        <f>IF([1]Employees!$I23&gt;=90000, "High", "Low")</f>
        <v>Low</v>
      </c>
      <c r="N23" s="6" t="str" cm="1">
        <f t="array" ref="N23">_xlfn.IFS([1]Employees!$I23&gt;=90000, "High", [1]Employees!$I23&gt;=50000, "Medium", [1]Employees!$I23&lt;50000, "Low")</f>
        <v>Medium</v>
      </c>
      <c r="O23" s="15" t="str">
        <f>IF([1]Employees!$I23&gt;=90000, "High", IF([1]Employees!$I23&gt;=50000, "Medium", "Low"))</f>
        <v>Medium</v>
      </c>
    </row>
    <row r="24" spans="1:15" x14ac:dyDescent="0.3">
      <c r="A24" s="4" t="s">
        <v>117</v>
      </c>
      <c r="B24" s="4" t="s">
        <v>74</v>
      </c>
      <c r="C24" s="4" t="s">
        <v>66</v>
      </c>
      <c r="D24" s="4" t="s">
        <v>27</v>
      </c>
      <c r="E24" s="4">
        <v>45</v>
      </c>
      <c r="F24" s="4" t="s">
        <v>34</v>
      </c>
      <c r="G24" s="4" t="s">
        <v>29</v>
      </c>
      <c r="H24" s="4" t="s">
        <v>118</v>
      </c>
      <c r="I24" s="4">
        <v>51414</v>
      </c>
      <c r="J24" s="4" t="s">
        <v>68</v>
      </c>
      <c r="K24" s="4" t="s">
        <v>119</v>
      </c>
      <c r="L24" s="4" t="s">
        <v>24</v>
      </c>
      <c r="M24" s="5" t="str">
        <f>IF([1]Employees!$I24&gt;=90000, "High", "Low")</f>
        <v>Low</v>
      </c>
      <c r="N24" s="6" t="str" cm="1">
        <f t="array" ref="N24">_xlfn.IFS([1]Employees!$I24&gt;=90000, "High", [1]Employees!$I24&gt;=50000, "Medium", [1]Employees!$I24&lt;50000, "Low")</f>
        <v>Medium</v>
      </c>
      <c r="O24" s="15" t="str">
        <f>IF([1]Employees!$I24&gt;=90000, "High", IF([1]Employees!$I24&gt;=50000, "Medium", "Low"))</f>
        <v>Medium</v>
      </c>
    </row>
    <row r="25" spans="1:15" x14ac:dyDescent="0.3">
      <c r="A25" s="4" t="s">
        <v>120</v>
      </c>
      <c r="B25" s="4" t="s">
        <v>47</v>
      </c>
      <c r="C25" s="4" t="s">
        <v>66</v>
      </c>
      <c r="D25" s="4" t="s">
        <v>27</v>
      </c>
      <c r="E25" s="4">
        <v>35</v>
      </c>
      <c r="F25" s="4" t="s">
        <v>53</v>
      </c>
      <c r="G25" s="4" t="s">
        <v>20</v>
      </c>
      <c r="H25" s="4" t="s">
        <v>121</v>
      </c>
      <c r="I25" s="4">
        <v>79578</v>
      </c>
      <c r="J25" s="4" t="s">
        <v>22</v>
      </c>
      <c r="K25" s="4" t="s">
        <v>122</v>
      </c>
      <c r="L25" s="4" t="s">
        <v>39</v>
      </c>
      <c r="M25" s="5" t="str">
        <f>IF([1]Employees!$I25&gt;=90000, "High", "Low")</f>
        <v>Low</v>
      </c>
      <c r="N25" s="6" t="str" cm="1">
        <f t="array" ref="N25">_xlfn.IFS([1]Employees!$I25&gt;=90000, "High", [1]Employees!$I25&gt;=50000, "Medium", [1]Employees!$I25&lt;50000, "Low")</f>
        <v>Medium</v>
      </c>
      <c r="O25" s="15" t="str">
        <f>IF([1]Employees!$I25&gt;=90000, "High", IF([1]Employees!$I25&gt;=50000, "Medium", "Low"))</f>
        <v>Medium</v>
      </c>
    </row>
    <row r="26" spans="1:15" x14ac:dyDescent="0.3">
      <c r="A26" s="4" t="s">
        <v>123</v>
      </c>
      <c r="B26" s="4" t="s">
        <v>74</v>
      </c>
      <c r="C26" s="4" t="s">
        <v>86</v>
      </c>
      <c r="D26" s="4" t="s">
        <v>27</v>
      </c>
      <c r="E26" s="4">
        <v>47</v>
      </c>
      <c r="F26" s="4" t="s">
        <v>28</v>
      </c>
      <c r="G26" s="4" t="s">
        <v>111</v>
      </c>
      <c r="H26" s="4" t="s">
        <v>124</v>
      </c>
      <c r="I26" s="4">
        <v>111899</v>
      </c>
      <c r="J26" s="4" t="s">
        <v>68</v>
      </c>
      <c r="K26" s="4" t="s">
        <v>125</v>
      </c>
      <c r="L26" s="4" t="s">
        <v>39</v>
      </c>
      <c r="M26" s="5" t="str">
        <f>IF([1]Employees!$I26&gt;=90000, "High", "Low")</f>
        <v>High</v>
      </c>
      <c r="N26" s="6" t="str" cm="1">
        <f t="array" ref="N26">_xlfn.IFS([1]Employees!$I26&gt;=90000, "High", [1]Employees!$I26&gt;=50000, "Medium", [1]Employees!$I26&lt;50000, "Low")</f>
        <v>High</v>
      </c>
      <c r="O26" s="15" t="str">
        <f>IF([1]Employees!$I26&gt;=90000, "High", IF([1]Employees!$I26&gt;=50000, "Medium", "Low"))</f>
        <v>High</v>
      </c>
    </row>
    <row r="27" spans="1:15" x14ac:dyDescent="0.3">
      <c r="A27" s="4" t="s">
        <v>126</v>
      </c>
      <c r="B27" s="4" t="s">
        <v>61</v>
      </c>
      <c r="C27" s="4" t="s">
        <v>17</v>
      </c>
      <c r="D27" s="4" t="s">
        <v>27</v>
      </c>
      <c r="E27" s="4">
        <v>47</v>
      </c>
      <c r="F27" s="4" t="s">
        <v>34</v>
      </c>
      <c r="G27" s="4" t="s">
        <v>29</v>
      </c>
      <c r="H27" s="4" t="s">
        <v>127</v>
      </c>
      <c r="I27" s="4">
        <v>95862</v>
      </c>
      <c r="J27" s="4" t="s">
        <v>22</v>
      </c>
      <c r="K27" s="4" t="s">
        <v>128</v>
      </c>
      <c r="L27" s="4" t="s">
        <v>24</v>
      </c>
      <c r="M27" s="5" t="str">
        <f>IF([1]Employees!$I27&gt;=90000, "High", "Low")</f>
        <v>High</v>
      </c>
      <c r="N27" s="6" t="str" cm="1">
        <f t="array" ref="N27">_xlfn.IFS([1]Employees!$I27&gt;=90000, "High", [1]Employees!$I27&gt;=50000, "Medium", [1]Employees!$I27&lt;50000, "Low")</f>
        <v>High</v>
      </c>
      <c r="O27" s="15" t="str">
        <f>IF([1]Employees!$I27&gt;=90000, "High", IF([1]Employees!$I27&gt;=50000, "Medium", "Low"))</f>
        <v>High</v>
      </c>
    </row>
    <row r="28" spans="1:15" x14ac:dyDescent="0.3">
      <c r="A28" s="4" t="s">
        <v>129</v>
      </c>
      <c r="B28" s="4" t="s">
        <v>16</v>
      </c>
      <c r="C28" s="4" t="s">
        <v>86</v>
      </c>
      <c r="D28" s="4" t="s">
        <v>18</v>
      </c>
      <c r="E28" s="4">
        <v>49</v>
      </c>
      <c r="F28" s="4" t="s">
        <v>28</v>
      </c>
      <c r="G28" s="4" t="s">
        <v>20</v>
      </c>
      <c r="H28" s="4" t="s">
        <v>130</v>
      </c>
      <c r="I28" s="4">
        <v>110397</v>
      </c>
      <c r="J28" s="4" t="s">
        <v>83</v>
      </c>
      <c r="K28" s="4" t="s">
        <v>131</v>
      </c>
      <c r="L28" s="4" t="s">
        <v>39</v>
      </c>
      <c r="M28" s="5" t="str">
        <f>IF([1]Employees!$I28&gt;=90000, "High", "Low")</f>
        <v>High</v>
      </c>
      <c r="N28" s="6" t="str" cm="1">
        <f t="array" ref="N28">_xlfn.IFS([1]Employees!$I28&gt;=90000, "High", [1]Employees!$I28&gt;=50000, "Medium", [1]Employees!$I28&lt;50000, "Low")</f>
        <v>High</v>
      </c>
      <c r="O28" s="15" t="str">
        <f>IF([1]Employees!$I28&gt;=90000, "High", IF([1]Employees!$I28&gt;=50000, "Medium", "Low"))</f>
        <v>High</v>
      </c>
    </row>
    <row r="29" spans="1:15" x14ac:dyDescent="0.3">
      <c r="A29" s="4" t="s">
        <v>132</v>
      </c>
      <c r="B29" s="4" t="s">
        <v>47</v>
      </c>
      <c r="C29" s="4" t="s">
        <v>133</v>
      </c>
      <c r="D29" s="4" t="s">
        <v>18</v>
      </c>
      <c r="E29" s="4">
        <v>27</v>
      </c>
      <c r="F29" s="4" t="s">
        <v>53</v>
      </c>
      <c r="G29" s="4" t="s">
        <v>29</v>
      </c>
      <c r="H29" s="4" t="s">
        <v>134</v>
      </c>
      <c r="I29" s="4">
        <v>111149</v>
      </c>
      <c r="J29" s="4" t="s">
        <v>83</v>
      </c>
      <c r="K29" s="4" t="s">
        <v>135</v>
      </c>
      <c r="L29" s="4" t="s">
        <v>24</v>
      </c>
      <c r="M29" s="5" t="str">
        <f>IF([1]Employees!$I29&gt;=90000, "High", "Low")</f>
        <v>High</v>
      </c>
      <c r="N29" s="6" t="str" cm="1">
        <f t="array" ref="N29">_xlfn.IFS([1]Employees!$I29&gt;=90000, "High", [1]Employees!$I29&gt;=50000, "Medium", [1]Employees!$I29&lt;50000, "Low")</f>
        <v>High</v>
      </c>
      <c r="O29" s="15" t="str">
        <f>IF([1]Employees!$I29&gt;=90000, "High", IF([1]Employees!$I29&gt;=50000, "Medium", "Low"))</f>
        <v>High</v>
      </c>
    </row>
    <row r="30" spans="1:15" x14ac:dyDescent="0.3">
      <c r="A30" s="4" t="s">
        <v>136</v>
      </c>
      <c r="B30" s="4" t="s">
        <v>57</v>
      </c>
      <c r="C30" s="4" t="s">
        <v>81</v>
      </c>
      <c r="D30" s="4" t="s">
        <v>27</v>
      </c>
      <c r="E30" s="4">
        <v>36</v>
      </c>
      <c r="F30" s="4" t="s">
        <v>34</v>
      </c>
      <c r="G30" s="4" t="s">
        <v>20</v>
      </c>
      <c r="H30" s="4" t="s">
        <v>137</v>
      </c>
      <c r="I30" s="4">
        <v>67035</v>
      </c>
      <c r="J30" s="4" t="s">
        <v>83</v>
      </c>
      <c r="K30" s="4" t="s">
        <v>138</v>
      </c>
      <c r="L30" s="4" t="s">
        <v>39</v>
      </c>
      <c r="M30" s="5" t="str">
        <f>IF([1]Employees!$I30&gt;=90000, "High", "Low")</f>
        <v>Low</v>
      </c>
      <c r="N30" s="6" t="str" cm="1">
        <f t="array" ref="N30">_xlfn.IFS([1]Employees!$I30&gt;=90000, "High", [1]Employees!$I30&gt;=50000, "Medium", [1]Employees!$I30&lt;50000, "Low")</f>
        <v>Medium</v>
      </c>
      <c r="O30" s="15" t="str">
        <f>IF([1]Employees!$I30&gt;=90000, "High", IF([1]Employees!$I30&gt;=50000, "Medium", "Low"))</f>
        <v>Medium</v>
      </c>
    </row>
    <row r="31" spans="1:15" x14ac:dyDescent="0.3">
      <c r="A31" s="4" t="s">
        <v>139</v>
      </c>
      <c r="B31" s="4" t="s">
        <v>41</v>
      </c>
      <c r="C31" s="4" t="s">
        <v>17</v>
      </c>
      <c r="D31" s="4" t="s">
        <v>27</v>
      </c>
      <c r="E31" s="4">
        <v>41</v>
      </c>
      <c r="F31" s="4" t="s">
        <v>28</v>
      </c>
      <c r="G31" s="4" t="s">
        <v>20</v>
      </c>
      <c r="H31" s="4" t="s">
        <v>140</v>
      </c>
      <c r="I31" s="4">
        <v>103851</v>
      </c>
      <c r="J31" s="4" t="s">
        <v>37</v>
      </c>
      <c r="K31" s="4" t="s">
        <v>141</v>
      </c>
      <c r="L31" s="4" t="s">
        <v>39</v>
      </c>
      <c r="M31" s="5" t="str">
        <f>IF([1]Employees!$I31&gt;=90000, "High", "Low")</f>
        <v>High</v>
      </c>
      <c r="N31" s="6" t="str" cm="1">
        <f t="array" ref="N31">_xlfn.IFS([1]Employees!$I31&gt;=90000, "High", [1]Employees!$I31&gt;=50000, "Medium", [1]Employees!$I31&lt;50000, "Low")</f>
        <v>High</v>
      </c>
      <c r="O31" s="15" t="str">
        <f>IF([1]Employees!$I31&gt;=90000, "High", IF([1]Employees!$I31&gt;=50000, "Medium", "Low"))</f>
        <v>High</v>
      </c>
    </row>
    <row r="32" spans="1:15" x14ac:dyDescent="0.3">
      <c r="A32" s="4" t="s">
        <v>142</v>
      </c>
      <c r="B32" s="4" t="s">
        <v>16</v>
      </c>
      <c r="C32" s="4" t="s">
        <v>48</v>
      </c>
      <c r="D32" s="4" t="s">
        <v>18</v>
      </c>
      <c r="E32" s="4">
        <v>26</v>
      </c>
      <c r="F32" s="4" t="s">
        <v>42</v>
      </c>
      <c r="G32" s="4" t="s">
        <v>111</v>
      </c>
      <c r="H32" s="4" t="s">
        <v>143</v>
      </c>
      <c r="I32" s="4">
        <v>63676</v>
      </c>
      <c r="J32" s="4" t="s">
        <v>22</v>
      </c>
      <c r="K32" s="4" t="s">
        <v>144</v>
      </c>
      <c r="L32" s="4" t="s">
        <v>39</v>
      </c>
      <c r="M32" s="5" t="str">
        <f>IF([1]Employees!$I32&gt;=90000, "High", "Low")</f>
        <v>Low</v>
      </c>
      <c r="N32" s="6" t="str" cm="1">
        <f t="array" ref="N32">_xlfn.IFS([1]Employees!$I32&gt;=90000, "High", [1]Employees!$I32&gt;=50000, "Medium", [1]Employees!$I32&lt;50000, "Low")</f>
        <v>Medium</v>
      </c>
      <c r="O32" s="15" t="str">
        <f>IF([1]Employees!$I32&gt;=90000, "High", IF([1]Employees!$I32&gt;=50000, "Medium", "Low"))</f>
        <v>Medium</v>
      </c>
    </row>
    <row r="33" spans="1:15" x14ac:dyDescent="0.3">
      <c r="A33" s="4" t="s">
        <v>145</v>
      </c>
      <c r="B33" s="4" t="s">
        <v>146</v>
      </c>
      <c r="C33" s="4" t="s">
        <v>98</v>
      </c>
      <c r="D33" s="4" t="s">
        <v>18</v>
      </c>
      <c r="E33" s="4">
        <v>31</v>
      </c>
      <c r="F33" s="4" t="s">
        <v>19</v>
      </c>
      <c r="G33" s="4" t="s">
        <v>43</v>
      </c>
      <c r="H33" s="4" t="s">
        <v>147</v>
      </c>
      <c r="I33" s="4">
        <v>115269</v>
      </c>
      <c r="J33" s="4" t="s">
        <v>83</v>
      </c>
      <c r="K33" s="4" t="s">
        <v>148</v>
      </c>
      <c r="L33" s="4" t="s">
        <v>39</v>
      </c>
      <c r="M33" s="5" t="str">
        <f>IF([1]Employees!$I33&gt;=90000, "High", "Low")</f>
        <v>High</v>
      </c>
      <c r="N33" s="6" t="str" cm="1">
        <f t="array" ref="N33">_xlfn.IFS([1]Employees!$I33&gt;=90000, "High", [1]Employees!$I33&gt;=50000, "Medium", [1]Employees!$I33&lt;50000, "Low")</f>
        <v>High</v>
      </c>
      <c r="O33" s="15" t="str">
        <f>IF([1]Employees!$I33&gt;=90000, "High", IF([1]Employees!$I33&gt;=50000, "Medium", "Low"))</f>
        <v>High</v>
      </c>
    </row>
    <row r="34" spans="1:15" x14ac:dyDescent="0.3">
      <c r="A34" s="4" t="s">
        <v>149</v>
      </c>
      <c r="B34" s="4" t="s">
        <v>146</v>
      </c>
      <c r="C34" s="4" t="s">
        <v>66</v>
      </c>
      <c r="D34" s="4" t="s">
        <v>27</v>
      </c>
      <c r="E34" s="4">
        <v>47</v>
      </c>
      <c r="F34" s="4" t="s">
        <v>34</v>
      </c>
      <c r="G34" s="4" t="s">
        <v>20</v>
      </c>
      <c r="H34" s="4" t="s">
        <v>150</v>
      </c>
      <c r="I34" s="4">
        <v>77203</v>
      </c>
      <c r="J34" s="4" t="s">
        <v>37</v>
      </c>
      <c r="K34" s="4" t="s">
        <v>151</v>
      </c>
      <c r="L34" s="4" t="s">
        <v>24</v>
      </c>
      <c r="M34" s="5" t="str">
        <f>IF([1]Employees!$I34&gt;=90000, "High", "Low")</f>
        <v>Low</v>
      </c>
      <c r="N34" s="6" t="str" cm="1">
        <f t="array" ref="N34">_xlfn.IFS([1]Employees!$I34&gt;=90000, "High", [1]Employees!$I34&gt;=50000, "Medium", [1]Employees!$I34&lt;50000, "Low")</f>
        <v>Medium</v>
      </c>
      <c r="O34" s="15" t="str">
        <f>IF([1]Employees!$I34&gt;=90000, "High", IF([1]Employees!$I34&gt;=50000, "Medium", "Low"))</f>
        <v>Medium</v>
      </c>
    </row>
    <row r="35" spans="1:15" x14ac:dyDescent="0.3">
      <c r="A35" s="4" t="s">
        <v>152</v>
      </c>
      <c r="B35" s="4" t="s">
        <v>61</v>
      </c>
      <c r="C35" s="4" t="s">
        <v>86</v>
      </c>
      <c r="D35" s="4" t="s">
        <v>27</v>
      </c>
      <c r="E35" s="4">
        <v>57</v>
      </c>
      <c r="F35" s="4" t="s">
        <v>19</v>
      </c>
      <c r="G35" s="4" t="s">
        <v>111</v>
      </c>
      <c r="H35" s="4" t="s">
        <v>153</v>
      </c>
      <c r="I35" s="4">
        <v>113291</v>
      </c>
      <c r="J35" s="4" t="s">
        <v>83</v>
      </c>
      <c r="K35" s="4" t="s">
        <v>154</v>
      </c>
      <c r="L35" s="4" t="s">
        <v>39</v>
      </c>
      <c r="M35" s="5" t="str">
        <f>IF([1]Employees!$I35&gt;=90000, "High", "Low")</f>
        <v>High</v>
      </c>
      <c r="N35" s="6" t="str" cm="1">
        <f t="array" ref="N35">_xlfn.IFS([1]Employees!$I35&gt;=90000, "High", [1]Employees!$I35&gt;=50000, "Medium", [1]Employees!$I35&lt;50000, "Low")</f>
        <v>High</v>
      </c>
      <c r="O35" s="15" t="str">
        <f>IF([1]Employees!$I35&gt;=90000, "High", IF([1]Employees!$I35&gt;=50000, "Medium", "Low"))</f>
        <v>High</v>
      </c>
    </row>
    <row r="36" spans="1:15" x14ac:dyDescent="0.3">
      <c r="A36" s="4" t="s">
        <v>155</v>
      </c>
      <c r="B36" s="4" t="s">
        <v>41</v>
      </c>
      <c r="C36" s="4" t="s">
        <v>81</v>
      </c>
      <c r="D36" s="4" t="s">
        <v>18</v>
      </c>
      <c r="E36" s="4">
        <v>45</v>
      </c>
      <c r="F36" s="4" t="s">
        <v>19</v>
      </c>
      <c r="G36" s="4" t="s">
        <v>20</v>
      </c>
      <c r="H36" s="4" t="s">
        <v>156</v>
      </c>
      <c r="I36" s="4">
        <v>93729</v>
      </c>
      <c r="J36" s="4" t="s">
        <v>83</v>
      </c>
      <c r="K36" s="4" t="s">
        <v>157</v>
      </c>
      <c r="L36" s="4" t="s">
        <v>39</v>
      </c>
      <c r="M36" s="5" t="str">
        <f>IF([1]Employees!$I36&gt;=90000, "High", "Low")</f>
        <v>High</v>
      </c>
      <c r="N36" s="6" t="str" cm="1">
        <f t="array" ref="N36">_xlfn.IFS([1]Employees!$I36&gt;=90000, "High", [1]Employees!$I36&gt;=50000, "Medium", [1]Employees!$I36&lt;50000, "Low")</f>
        <v>High</v>
      </c>
      <c r="O36" s="15" t="str">
        <f>IF([1]Employees!$I36&gt;=90000, "High", IF([1]Employees!$I36&gt;=50000, "Medium", "Low"))</f>
        <v>High</v>
      </c>
    </row>
    <row r="37" spans="1:15" x14ac:dyDescent="0.3">
      <c r="A37" s="4" t="s">
        <v>158</v>
      </c>
      <c r="B37" s="4" t="s">
        <v>33</v>
      </c>
      <c r="C37" s="4" t="s">
        <v>48</v>
      </c>
      <c r="D37" s="4" t="s">
        <v>27</v>
      </c>
      <c r="E37" s="4">
        <v>40</v>
      </c>
      <c r="F37" s="4" t="s">
        <v>42</v>
      </c>
      <c r="G37" s="4" t="s">
        <v>111</v>
      </c>
      <c r="H37" s="4" t="s">
        <v>159</v>
      </c>
      <c r="I37" s="4">
        <v>35947</v>
      </c>
      <c r="J37" s="4" t="s">
        <v>68</v>
      </c>
      <c r="K37" s="4" t="s">
        <v>160</v>
      </c>
      <c r="L37" s="4" t="s">
        <v>39</v>
      </c>
      <c r="M37" s="5" t="str">
        <f>IF([1]Employees!$I37&gt;=90000, "High", "Low")</f>
        <v>Low</v>
      </c>
      <c r="N37" s="6" t="str" cm="1">
        <f t="array" ref="N37">_xlfn.IFS([1]Employees!$I37&gt;=90000, "High", [1]Employees!$I37&gt;=50000, "Medium", [1]Employees!$I37&lt;50000, "Low")</f>
        <v>Low</v>
      </c>
      <c r="O37" s="15" t="str">
        <f>IF([1]Employees!$I37&gt;=90000, "High", IF([1]Employees!$I37&gt;=50000, "Medium", "Low"))</f>
        <v>Low</v>
      </c>
    </row>
    <row r="38" spans="1:15" x14ac:dyDescent="0.3">
      <c r="A38" s="4" t="s">
        <v>161</v>
      </c>
      <c r="B38" s="4" t="s">
        <v>16</v>
      </c>
      <c r="C38" s="4" t="s">
        <v>48</v>
      </c>
      <c r="D38" s="4" t="s">
        <v>18</v>
      </c>
      <c r="E38" s="4">
        <v>49</v>
      </c>
      <c r="F38" s="4" t="s">
        <v>42</v>
      </c>
      <c r="G38" s="4" t="s">
        <v>29</v>
      </c>
      <c r="H38" s="4" t="s">
        <v>162</v>
      </c>
      <c r="I38" s="4">
        <v>72311</v>
      </c>
      <c r="J38" s="4" t="s">
        <v>83</v>
      </c>
      <c r="K38" s="4" t="s">
        <v>163</v>
      </c>
      <c r="L38" s="4" t="s">
        <v>39</v>
      </c>
      <c r="M38" s="5" t="str">
        <f>IF([1]Employees!$I38&gt;=90000, "High", "Low")</f>
        <v>Low</v>
      </c>
      <c r="N38" s="6" t="str" cm="1">
        <f t="array" ref="N38">_xlfn.IFS([1]Employees!$I38&gt;=90000, "High", [1]Employees!$I38&gt;=50000, "Medium", [1]Employees!$I38&lt;50000, "Low")</f>
        <v>Medium</v>
      </c>
      <c r="O38" s="15" t="str">
        <f>IF([1]Employees!$I38&gt;=90000, "High", IF([1]Employees!$I38&gt;=50000, "Medium", "Low"))</f>
        <v>Medium</v>
      </c>
    </row>
    <row r="39" spans="1:15" x14ac:dyDescent="0.3">
      <c r="A39" s="4" t="s">
        <v>164</v>
      </c>
      <c r="B39" s="4" t="s">
        <v>146</v>
      </c>
      <c r="C39" s="4" t="s">
        <v>93</v>
      </c>
      <c r="D39" s="4" t="s">
        <v>27</v>
      </c>
      <c r="E39" s="4">
        <v>53</v>
      </c>
      <c r="F39" s="4" t="s">
        <v>53</v>
      </c>
      <c r="G39" s="4" t="s">
        <v>43</v>
      </c>
      <c r="H39" s="4" t="s">
        <v>165</v>
      </c>
      <c r="I39" s="4">
        <v>38763</v>
      </c>
      <c r="J39" s="4" t="s">
        <v>63</v>
      </c>
      <c r="K39" s="4" t="s">
        <v>166</v>
      </c>
      <c r="L39" s="4" t="s">
        <v>24</v>
      </c>
      <c r="M39" s="5" t="str">
        <f>IF([1]Employees!$I39&gt;=90000, "High", "Low")</f>
        <v>Low</v>
      </c>
      <c r="N39" s="6" t="str" cm="1">
        <f t="array" ref="N39">_xlfn.IFS([1]Employees!$I39&gt;=90000, "High", [1]Employees!$I39&gt;=50000, "Medium", [1]Employees!$I39&lt;50000, "Low")</f>
        <v>Low</v>
      </c>
      <c r="O39" s="15" t="str">
        <f>IF([1]Employees!$I39&gt;=90000, "High", IF([1]Employees!$I39&gt;=50000, "Medium", "Low"))</f>
        <v>Low</v>
      </c>
    </row>
    <row r="40" spans="1:15" x14ac:dyDescent="0.3">
      <c r="A40" s="4" t="s">
        <v>167</v>
      </c>
      <c r="B40" s="4" t="s">
        <v>41</v>
      </c>
      <c r="C40" s="4" t="s">
        <v>168</v>
      </c>
      <c r="D40" s="4" t="s">
        <v>18</v>
      </c>
      <c r="E40" s="4">
        <v>54</v>
      </c>
      <c r="F40" s="4" t="s">
        <v>34</v>
      </c>
      <c r="G40" s="4" t="s">
        <v>35</v>
      </c>
      <c r="H40" s="4" t="s">
        <v>169</v>
      </c>
      <c r="I40" s="4">
        <v>101175</v>
      </c>
      <c r="J40" s="4" t="s">
        <v>63</v>
      </c>
      <c r="K40" s="4" t="s">
        <v>170</v>
      </c>
      <c r="L40" s="4" t="s">
        <v>24</v>
      </c>
      <c r="M40" s="5" t="str">
        <f>IF([1]Employees!$I40&gt;=90000, "High", "Low")</f>
        <v>High</v>
      </c>
      <c r="N40" s="6" t="str" cm="1">
        <f t="array" ref="N40">_xlfn.IFS([1]Employees!$I40&gt;=90000, "High", [1]Employees!$I40&gt;=50000, "Medium", [1]Employees!$I40&lt;50000, "Low")</f>
        <v>High</v>
      </c>
      <c r="O40" s="15" t="str">
        <f>IF([1]Employees!$I40&gt;=90000, "High", IF([1]Employees!$I40&gt;=50000, "Medium", "Low"))</f>
        <v>High</v>
      </c>
    </row>
    <row r="41" spans="1:15" x14ac:dyDescent="0.3">
      <c r="A41" s="4" t="s">
        <v>171</v>
      </c>
      <c r="B41" s="4" t="s">
        <v>146</v>
      </c>
      <c r="C41" s="4" t="s">
        <v>93</v>
      </c>
      <c r="D41" s="4" t="s">
        <v>18</v>
      </c>
      <c r="E41" s="4">
        <v>41</v>
      </c>
      <c r="F41" s="4" t="s">
        <v>28</v>
      </c>
      <c r="G41" s="4" t="s">
        <v>111</v>
      </c>
      <c r="H41" s="4" t="s">
        <v>172</v>
      </c>
      <c r="I41" s="4">
        <v>36386</v>
      </c>
      <c r="J41" s="4" t="s">
        <v>68</v>
      </c>
      <c r="K41" s="4" t="s">
        <v>173</v>
      </c>
      <c r="L41" s="4" t="s">
        <v>24</v>
      </c>
      <c r="M41" s="5" t="str">
        <f>IF([1]Employees!$I41&gt;=90000, "High", "Low")</f>
        <v>Low</v>
      </c>
      <c r="N41" s="6" t="str" cm="1">
        <f t="array" ref="N41">_xlfn.IFS([1]Employees!$I41&gt;=90000, "High", [1]Employees!$I41&gt;=50000, "Medium", [1]Employees!$I41&lt;50000, "Low")</f>
        <v>Low</v>
      </c>
      <c r="O41" s="15" t="str">
        <f>IF([1]Employees!$I41&gt;=90000, "High", IF([1]Employees!$I41&gt;=50000, "Medium", "Low"))</f>
        <v>Low</v>
      </c>
    </row>
    <row r="42" spans="1:15" x14ac:dyDescent="0.3">
      <c r="A42" s="4" t="s">
        <v>174</v>
      </c>
      <c r="B42" s="4" t="s">
        <v>74</v>
      </c>
      <c r="C42" s="4" t="s">
        <v>48</v>
      </c>
      <c r="D42" s="4" t="s">
        <v>18</v>
      </c>
      <c r="E42" s="4">
        <v>56</v>
      </c>
      <c r="F42" s="4" t="s">
        <v>42</v>
      </c>
      <c r="G42" s="4" t="s">
        <v>43</v>
      </c>
      <c r="H42" s="4" t="s">
        <v>175</v>
      </c>
      <c r="I42" s="4">
        <v>76395</v>
      </c>
      <c r="J42" s="4" t="s">
        <v>22</v>
      </c>
      <c r="K42" s="4" t="s">
        <v>176</v>
      </c>
      <c r="L42" s="4" t="s">
        <v>39</v>
      </c>
      <c r="M42" s="5" t="str">
        <f>IF([1]Employees!$I42&gt;=90000, "High", "Low")</f>
        <v>Low</v>
      </c>
      <c r="N42" s="6" t="str" cm="1">
        <f t="array" ref="N42">_xlfn.IFS([1]Employees!$I42&gt;=90000, "High", [1]Employees!$I42&gt;=50000, "Medium", [1]Employees!$I42&lt;50000, "Low")</f>
        <v>Medium</v>
      </c>
      <c r="O42" s="15" t="str">
        <f>IF([1]Employees!$I42&gt;=90000, "High", IF([1]Employees!$I42&gt;=50000, "Medium", "Low"))</f>
        <v>Medium</v>
      </c>
    </row>
    <row r="43" spans="1:15" x14ac:dyDescent="0.3">
      <c r="A43" s="4" t="s">
        <v>177</v>
      </c>
      <c r="B43" s="4" t="s">
        <v>47</v>
      </c>
      <c r="C43" s="4" t="s">
        <v>98</v>
      </c>
      <c r="D43" s="4" t="s">
        <v>27</v>
      </c>
      <c r="E43" s="4">
        <v>49</v>
      </c>
      <c r="F43" s="4" t="s">
        <v>34</v>
      </c>
      <c r="G43" s="4" t="s">
        <v>111</v>
      </c>
      <c r="H43" s="4" t="s">
        <v>178</v>
      </c>
      <c r="I43" s="4">
        <v>43701</v>
      </c>
      <c r="J43" s="4" t="s">
        <v>63</v>
      </c>
      <c r="K43" s="4" t="s">
        <v>179</v>
      </c>
      <c r="L43" s="4" t="s">
        <v>24</v>
      </c>
      <c r="M43" s="5" t="str">
        <f>IF([1]Employees!$I43&gt;=90000, "High", "Low")</f>
        <v>Low</v>
      </c>
      <c r="N43" s="6" t="str" cm="1">
        <f t="array" ref="N43">_xlfn.IFS([1]Employees!$I43&gt;=90000, "High", [1]Employees!$I43&gt;=50000, "Medium", [1]Employees!$I43&lt;50000, "Low")</f>
        <v>Low</v>
      </c>
      <c r="O43" s="15" t="str">
        <f>IF([1]Employees!$I43&gt;=90000, "High", IF([1]Employees!$I43&gt;=50000, "Medium", "Low"))</f>
        <v>Low</v>
      </c>
    </row>
    <row r="44" spans="1:15" x14ac:dyDescent="0.3">
      <c r="A44" s="4" t="s">
        <v>180</v>
      </c>
      <c r="B44" s="4" t="s">
        <v>97</v>
      </c>
      <c r="C44" s="4" t="s">
        <v>133</v>
      </c>
      <c r="D44" s="4" t="s">
        <v>27</v>
      </c>
      <c r="E44" s="4">
        <v>32</v>
      </c>
      <c r="F44" s="4" t="s">
        <v>28</v>
      </c>
      <c r="G44" s="4" t="s">
        <v>20</v>
      </c>
      <c r="H44" s="4" t="s">
        <v>181</v>
      </c>
      <c r="I44" s="4">
        <v>85198</v>
      </c>
      <c r="J44" s="4" t="s">
        <v>63</v>
      </c>
      <c r="K44" s="4" t="s">
        <v>182</v>
      </c>
      <c r="L44" s="4" t="s">
        <v>24</v>
      </c>
      <c r="M44" s="5" t="str">
        <f>IF([1]Employees!$I44&gt;=90000, "High", "Low")</f>
        <v>Low</v>
      </c>
      <c r="N44" s="6" t="str" cm="1">
        <f t="array" ref="N44">_xlfn.IFS([1]Employees!$I44&gt;=90000, "High", [1]Employees!$I44&gt;=50000, "Medium", [1]Employees!$I44&lt;50000, "Low")</f>
        <v>Medium</v>
      </c>
      <c r="O44" s="15" t="str">
        <f>IF([1]Employees!$I44&gt;=90000, "High", IF([1]Employees!$I44&gt;=50000, "Medium", "Low"))</f>
        <v>Medium</v>
      </c>
    </row>
    <row r="45" spans="1:15" x14ac:dyDescent="0.3">
      <c r="A45" s="4" t="s">
        <v>183</v>
      </c>
      <c r="B45" s="4" t="s">
        <v>16</v>
      </c>
      <c r="C45" s="4" t="s">
        <v>133</v>
      </c>
      <c r="D45" s="4" t="s">
        <v>18</v>
      </c>
      <c r="E45" s="4">
        <v>26</v>
      </c>
      <c r="F45" s="4" t="s">
        <v>19</v>
      </c>
      <c r="G45" s="4" t="s">
        <v>43</v>
      </c>
      <c r="H45" s="4" t="s">
        <v>184</v>
      </c>
      <c r="I45" s="4">
        <v>39451</v>
      </c>
      <c r="J45" s="4" t="s">
        <v>83</v>
      </c>
      <c r="K45" s="4" t="s">
        <v>185</v>
      </c>
      <c r="L45" s="4" t="s">
        <v>24</v>
      </c>
      <c r="M45" s="5" t="str">
        <f>IF([1]Employees!$I45&gt;=90000, "High", "Low")</f>
        <v>Low</v>
      </c>
      <c r="N45" s="6" t="str" cm="1">
        <f t="array" ref="N45">_xlfn.IFS([1]Employees!$I45&gt;=90000, "High", [1]Employees!$I45&gt;=50000, "Medium", [1]Employees!$I45&lt;50000, "Low")</f>
        <v>Low</v>
      </c>
      <c r="O45" s="15" t="str">
        <f>IF([1]Employees!$I45&gt;=90000, "High", IF([1]Employees!$I45&gt;=50000, "Medium", "Low"))</f>
        <v>Low</v>
      </c>
    </row>
    <row r="46" spans="1:15" x14ac:dyDescent="0.3">
      <c r="A46" s="4" t="s">
        <v>186</v>
      </c>
      <c r="B46" s="4" t="s">
        <v>146</v>
      </c>
      <c r="C46" s="4" t="s">
        <v>168</v>
      </c>
      <c r="D46" s="4" t="s">
        <v>18</v>
      </c>
      <c r="E46" s="4">
        <v>26</v>
      </c>
      <c r="F46" s="4" t="s">
        <v>34</v>
      </c>
      <c r="G46" s="4" t="s">
        <v>43</v>
      </c>
      <c r="H46" s="4" t="s">
        <v>187</v>
      </c>
      <c r="I46" s="4">
        <v>45087</v>
      </c>
      <c r="J46" s="4" t="s">
        <v>83</v>
      </c>
      <c r="K46" s="4" t="s">
        <v>188</v>
      </c>
      <c r="L46" s="4" t="s">
        <v>24</v>
      </c>
      <c r="M46" s="5" t="str">
        <f>IF([1]Employees!$I46&gt;=90000, "High", "Low")</f>
        <v>Low</v>
      </c>
      <c r="N46" s="6" t="str" cm="1">
        <f t="array" ref="N46">_xlfn.IFS([1]Employees!$I46&gt;=90000, "High", [1]Employees!$I46&gt;=50000, "Medium", [1]Employees!$I46&lt;50000, "Low")</f>
        <v>Low</v>
      </c>
      <c r="O46" s="15" t="str">
        <f>IF([1]Employees!$I46&gt;=90000, "High", IF([1]Employees!$I46&gt;=50000, "Medium", "Low"))</f>
        <v>Low</v>
      </c>
    </row>
    <row r="47" spans="1:15" x14ac:dyDescent="0.3">
      <c r="A47" s="4" t="s">
        <v>189</v>
      </c>
      <c r="B47" s="4" t="s">
        <v>33</v>
      </c>
      <c r="C47" s="4" t="s">
        <v>98</v>
      </c>
      <c r="D47" s="4" t="s">
        <v>27</v>
      </c>
      <c r="E47" s="4">
        <v>26</v>
      </c>
      <c r="F47" s="4" t="s">
        <v>34</v>
      </c>
      <c r="G47" s="4" t="s">
        <v>20</v>
      </c>
      <c r="H47" s="4" t="s">
        <v>190</v>
      </c>
      <c r="I47" s="4">
        <v>38222</v>
      </c>
      <c r="J47" s="4" t="s">
        <v>68</v>
      </c>
      <c r="K47" s="4" t="s">
        <v>191</v>
      </c>
      <c r="L47" s="4" t="s">
        <v>39</v>
      </c>
      <c r="M47" s="5" t="str">
        <f>IF([1]Employees!$I47&gt;=90000, "High", "Low")</f>
        <v>Low</v>
      </c>
      <c r="N47" s="6" t="str" cm="1">
        <f t="array" ref="N47">_xlfn.IFS([1]Employees!$I47&gt;=90000, "High", [1]Employees!$I47&gt;=50000, "Medium", [1]Employees!$I47&lt;50000, "Low")</f>
        <v>Low</v>
      </c>
      <c r="O47" s="15" t="str">
        <f>IF([1]Employees!$I47&gt;=90000, "High", IF([1]Employees!$I47&gt;=50000, "Medium", "Low"))</f>
        <v>Low</v>
      </c>
    </row>
    <row r="48" spans="1:15" x14ac:dyDescent="0.3">
      <c r="A48" s="4" t="s">
        <v>192</v>
      </c>
      <c r="B48" s="4" t="s">
        <v>74</v>
      </c>
      <c r="C48" s="4" t="s">
        <v>66</v>
      </c>
      <c r="D48" s="4" t="s">
        <v>18</v>
      </c>
      <c r="E48" s="4">
        <v>57</v>
      </c>
      <c r="F48" s="4" t="s">
        <v>28</v>
      </c>
      <c r="G48" s="4" t="s">
        <v>29</v>
      </c>
      <c r="H48" s="4" t="s">
        <v>193</v>
      </c>
      <c r="I48" s="4">
        <v>96188</v>
      </c>
      <c r="J48" s="4" t="s">
        <v>63</v>
      </c>
      <c r="K48" s="4" t="s">
        <v>194</v>
      </c>
      <c r="L48" s="4" t="s">
        <v>24</v>
      </c>
      <c r="M48" s="5" t="str">
        <f>IF([1]Employees!$I48&gt;=90000, "High", "Low")</f>
        <v>High</v>
      </c>
      <c r="N48" s="6" t="str" cm="1">
        <f t="array" ref="N48">_xlfn.IFS([1]Employees!$I48&gt;=90000, "High", [1]Employees!$I48&gt;=50000, "Medium", [1]Employees!$I48&lt;50000, "Low")</f>
        <v>High</v>
      </c>
      <c r="O48" s="15" t="str">
        <f>IF([1]Employees!$I48&gt;=90000, "High", IF([1]Employees!$I48&gt;=50000, "Medium", "Low"))</f>
        <v>High</v>
      </c>
    </row>
    <row r="49" spans="1:15" x14ac:dyDescent="0.3">
      <c r="A49" s="4" t="s">
        <v>195</v>
      </c>
      <c r="B49" s="4" t="s">
        <v>52</v>
      </c>
      <c r="C49" s="4" t="s">
        <v>86</v>
      </c>
      <c r="D49" s="4" t="s">
        <v>27</v>
      </c>
      <c r="E49" s="4">
        <v>32</v>
      </c>
      <c r="F49" s="4" t="s">
        <v>53</v>
      </c>
      <c r="G49" s="4" t="s">
        <v>20</v>
      </c>
      <c r="H49" s="4" t="s">
        <v>196</v>
      </c>
      <c r="I49" s="4">
        <v>106013</v>
      </c>
      <c r="J49" s="4" t="s">
        <v>83</v>
      </c>
      <c r="K49" s="4" t="s">
        <v>197</v>
      </c>
      <c r="L49" s="4" t="s">
        <v>24</v>
      </c>
      <c r="M49" s="5" t="str">
        <f>IF([1]Employees!$I49&gt;=90000, "High", "Low")</f>
        <v>High</v>
      </c>
      <c r="N49" s="6" t="str" cm="1">
        <f t="array" ref="N49">_xlfn.IFS([1]Employees!$I49&gt;=90000, "High", [1]Employees!$I49&gt;=50000, "Medium", [1]Employees!$I49&lt;50000, "Low")</f>
        <v>High</v>
      </c>
      <c r="O49" s="15" t="str">
        <f>IF([1]Employees!$I49&gt;=90000, "High", IF([1]Employees!$I49&gt;=50000, "Medium", "Low"))</f>
        <v>High</v>
      </c>
    </row>
    <row r="50" spans="1:15" x14ac:dyDescent="0.3">
      <c r="A50" s="4" t="s">
        <v>198</v>
      </c>
      <c r="B50" s="4" t="s">
        <v>57</v>
      </c>
      <c r="C50" s="4" t="s">
        <v>98</v>
      </c>
      <c r="D50" s="4" t="s">
        <v>27</v>
      </c>
      <c r="E50" s="4">
        <v>52</v>
      </c>
      <c r="F50" s="4" t="s">
        <v>34</v>
      </c>
      <c r="G50" s="4" t="s">
        <v>29</v>
      </c>
      <c r="H50" s="4" t="s">
        <v>199</v>
      </c>
      <c r="I50" s="4">
        <v>82014</v>
      </c>
      <c r="J50" s="4" t="s">
        <v>22</v>
      </c>
      <c r="K50" s="4" t="s">
        <v>200</v>
      </c>
      <c r="L50" s="4" t="s">
        <v>24</v>
      </c>
      <c r="M50" s="5" t="str">
        <f>IF([1]Employees!$I50&gt;=90000, "High", "Low")</f>
        <v>Low</v>
      </c>
      <c r="N50" s="6" t="str" cm="1">
        <f t="array" ref="N50">_xlfn.IFS([1]Employees!$I50&gt;=90000, "High", [1]Employees!$I50&gt;=50000, "Medium", [1]Employees!$I50&lt;50000, "Low")</f>
        <v>Medium</v>
      </c>
      <c r="O50" s="15" t="str">
        <f>IF([1]Employees!$I50&gt;=90000, "High", IF([1]Employees!$I50&gt;=50000, "Medium", "Low"))</f>
        <v>Medium</v>
      </c>
    </row>
    <row r="51" spans="1:15" x14ac:dyDescent="0.3">
      <c r="A51" s="4" t="s">
        <v>201</v>
      </c>
      <c r="B51" s="4" t="s">
        <v>41</v>
      </c>
      <c r="C51" s="4" t="s">
        <v>98</v>
      </c>
      <c r="D51" s="4" t="s">
        <v>27</v>
      </c>
      <c r="E51" s="4">
        <v>46</v>
      </c>
      <c r="F51" s="4" t="s">
        <v>34</v>
      </c>
      <c r="G51" s="4" t="s">
        <v>43</v>
      </c>
      <c r="H51" s="4" t="s">
        <v>127</v>
      </c>
      <c r="I51" s="4">
        <v>84323</v>
      </c>
      <c r="J51" s="4" t="s">
        <v>37</v>
      </c>
      <c r="K51" s="4" t="s">
        <v>202</v>
      </c>
      <c r="L51" s="4" t="s">
        <v>24</v>
      </c>
      <c r="M51" s="5" t="str">
        <f>IF([1]Employees!$I51&gt;=90000, "High", "Low")</f>
        <v>Low</v>
      </c>
      <c r="N51" s="6" t="str" cm="1">
        <f t="array" ref="N51">_xlfn.IFS([1]Employees!$I51&gt;=90000, "High", [1]Employees!$I51&gt;=50000, "Medium", [1]Employees!$I51&lt;50000, "Low")</f>
        <v>Medium</v>
      </c>
      <c r="O51" s="15" t="str">
        <f>IF([1]Employees!$I51&gt;=90000, "High", IF([1]Employees!$I51&gt;=50000, "Medium", "Low"))</f>
        <v>Medium</v>
      </c>
    </row>
    <row r="52" spans="1:15" x14ac:dyDescent="0.3">
      <c r="A52" s="4" t="s">
        <v>203</v>
      </c>
      <c r="B52" s="4" t="s">
        <v>61</v>
      </c>
      <c r="C52" s="4" t="s">
        <v>66</v>
      </c>
      <c r="D52" s="4" t="s">
        <v>18</v>
      </c>
      <c r="E52" s="4">
        <v>42</v>
      </c>
      <c r="F52" s="4" t="s">
        <v>19</v>
      </c>
      <c r="G52" s="4" t="s">
        <v>20</v>
      </c>
      <c r="H52" s="4" t="s">
        <v>204</v>
      </c>
      <c r="I52" s="4">
        <v>93289</v>
      </c>
      <c r="J52" s="4" t="s">
        <v>68</v>
      </c>
      <c r="K52" s="4" t="s">
        <v>205</v>
      </c>
      <c r="L52" s="4" t="s">
        <v>39</v>
      </c>
      <c r="M52" s="5" t="str">
        <f>IF([1]Employees!$I52&gt;=90000, "High", "Low")</f>
        <v>High</v>
      </c>
      <c r="N52" s="6" t="str" cm="1">
        <f t="array" ref="N52">_xlfn.IFS([1]Employees!$I52&gt;=90000, "High", [1]Employees!$I52&gt;=50000, "Medium", [1]Employees!$I52&lt;50000, "Low")</f>
        <v>High</v>
      </c>
      <c r="O52" s="15" t="str">
        <f>IF([1]Employees!$I52&gt;=90000, "High", IF([1]Employees!$I52&gt;=50000, "Medium", "Low"))</f>
        <v>High</v>
      </c>
    </row>
    <row r="53" spans="1:15" x14ac:dyDescent="0.3">
      <c r="A53" s="4" t="s">
        <v>206</v>
      </c>
      <c r="B53" s="4" t="s">
        <v>41</v>
      </c>
      <c r="C53" s="4" t="s">
        <v>133</v>
      </c>
      <c r="D53" s="4" t="s">
        <v>18</v>
      </c>
      <c r="E53" s="4">
        <v>46</v>
      </c>
      <c r="F53" s="4" t="s">
        <v>42</v>
      </c>
      <c r="G53" s="4" t="s">
        <v>43</v>
      </c>
      <c r="H53" s="4" t="s">
        <v>207</v>
      </c>
      <c r="I53" s="4">
        <v>43926</v>
      </c>
      <c r="J53" s="4" t="s">
        <v>83</v>
      </c>
      <c r="K53" s="4" t="s">
        <v>208</v>
      </c>
      <c r="L53" s="4" t="s">
        <v>39</v>
      </c>
      <c r="M53" s="5" t="str">
        <f>IF([1]Employees!$I53&gt;=90000, "High", "Low")</f>
        <v>Low</v>
      </c>
      <c r="N53" s="6" t="str" cm="1">
        <f t="array" ref="N53">_xlfn.IFS([1]Employees!$I53&gt;=90000, "High", [1]Employees!$I53&gt;=50000, "Medium", [1]Employees!$I53&lt;50000, "Low")</f>
        <v>Low</v>
      </c>
      <c r="O53" s="15" t="str">
        <f>IF([1]Employees!$I53&gt;=90000, "High", IF([1]Employees!$I53&gt;=50000, "Medium", "Low"))</f>
        <v>Low</v>
      </c>
    </row>
    <row r="54" spans="1:15" x14ac:dyDescent="0.3">
      <c r="A54" s="4" t="s">
        <v>209</v>
      </c>
      <c r="B54" s="4" t="s">
        <v>33</v>
      </c>
      <c r="C54" s="4" t="s">
        <v>26</v>
      </c>
      <c r="D54" s="4" t="s">
        <v>27</v>
      </c>
      <c r="E54" s="4">
        <v>57</v>
      </c>
      <c r="F54" s="4" t="s">
        <v>19</v>
      </c>
      <c r="G54" s="4" t="s">
        <v>35</v>
      </c>
      <c r="H54" s="4" t="s">
        <v>210</v>
      </c>
      <c r="I54" s="4">
        <v>102761</v>
      </c>
      <c r="J54" s="4" t="s">
        <v>68</v>
      </c>
      <c r="K54" s="4" t="s">
        <v>211</v>
      </c>
      <c r="L54" s="4" t="s">
        <v>39</v>
      </c>
      <c r="M54" s="5" t="str">
        <f>IF([1]Employees!$I54&gt;=90000, "High", "Low")</f>
        <v>High</v>
      </c>
      <c r="N54" s="6" t="str" cm="1">
        <f t="array" ref="N54">_xlfn.IFS([1]Employees!$I54&gt;=90000, "High", [1]Employees!$I54&gt;=50000, "Medium", [1]Employees!$I54&lt;50000, "Low")</f>
        <v>High</v>
      </c>
      <c r="O54" s="15" t="str">
        <f>IF([1]Employees!$I54&gt;=90000, "High", IF([1]Employees!$I54&gt;=50000, "Medium", "Low"))</f>
        <v>High</v>
      </c>
    </row>
    <row r="55" spans="1:15" x14ac:dyDescent="0.3">
      <c r="A55" s="4" t="s">
        <v>212</v>
      </c>
      <c r="B55" s="4" t="s">
        <v>97</v>
      </c>
      <c r="C55" s="4" t="s">
        <v>98</v>
      </c>
      <c r="D55" s="4" t="s">
        <v>27</v>
      </c>
      <c r="E55" s="4">
        <v>58</v>
      </c>
      <c r="F55" s="4" t="s">
        <v>53</v>
      </c>
      <c r="G55" s="4" t="s">
        <v>111</v>
      </c>
      <c r="H55" s="4" t="s">
        <v>213</v>
      </c>
      <c r="I55" s="4">
        <v>109960</v>
      </c>
      <c r="J55" s="4" t="s">
        <v>68</v>
      </c>
      <c r="K55" s="4" t="s">
        <v>214</v>
      </c>
      <c r="L55" s="4" t="s">
        <v>39</v>
      </c>
      <c r="M55" s="5" t="str">
        <f>IF([1]Employees!$I55&gt;=90000, "High", "Low")</f>
        <v>High</v>
      </c>
      <c r="N55" s="6" t="str" cm="1">
        <f t="array" ref="N55">_xlfn.IFS([1]Employees!$I55&gt;=90000, "High", [1]Employees!$I55&gt;=50000, "Medium", [1]Employees!$I55&lt;50000, "Low")</f>
        <v>High</v>
      </c>
      <c r="O55" s="15" t="str">
        <f>IF([1]Employees!$I55&gt;=90000, "High", IF([1]Employees!$I55&gt;=50000, "Medium", "Low"))</f>
        <v>High</v>
      </c>
    </row>
    <row r="56" spans="1:15" x14ac:dyDescent="0.3">
      <c r="A56" s="4" t="s">
        <v>215</v>
      </c>
      <c r="B56" s="4" t="s">
        <v>74</v>
      </c>
      <c r="C56" s="4" t="s">
        <v>168</v>
      </c>
      <c r="D56" s="4" t="s">
        <v>27</v>
      </c>
      <c r="E56" s="4">
        <v>42</v>
      </c>
      <c r="F56" s="4" t="s">
        <v>53</v>
      </c>
      <c r="G56" s="4" t="s">
        <v>29</v>
      </c>
      <c r="H56" s="4" t="s">
        <v>216</v>
      </c>
      <c r="I56" s="4">
        <v>83308</v>
      </c>
      <c r="J56" s="4" t="s">
        <v>63</v>
      </c>
      <c r="K56" s="4" t="s">
        <v>217</v>
      </c>
      <c r="L56" s="4" t="s">
        <v>39</v>
      </c>
      <c r="M56" s="5" t="str">
        <f>IF([1]Employees!$I56&gt;=90000, "High", "Low")</f>
        <v>Low</v>
      </c>
      <c r="N56" s="6" t="str" cm="1">
        <f t="array" ref="N56">_xlfn.IFS([1]Employees!$I56&gt;=90000, "High", [1]Employees!$I56&gt;=50000, "Medium", [1]Employees!$I56&lt;50000, "Low")</f>
        <v>Medium</v>
      </c>
      <c r="O56" s="15" t="str">
        <f>IF([1]Employees!$I56&gt;=90000, "High", IF([1]Employees!$I56&gt;=50000, "Medium", "Low"))</f>
        <v>Medium</v>
      </c>
    </row>
    <row r="57" spans="1:15" x14ac:dyDescent="0.3">
      <c r="A57" s="4" t="s">
        <v>218</v>
      </c>
      <c r="B57" s="4" t="s">
        <v>74</v>
      </c>
      <c r="C57" s="4" t="s">
        <v>48</v>
      </c>
      <c r="D57" s="4" t="s">
        <v>27</v>
      </c>
      <c r="E57" s="4">
        <v>26</v>
      </c>
      <c r="F57" s="4" t="s">
        <v>53</v>
      </c>
      <c r="G57" s="4" t="s">
        <v>111</v>
      </c>
      <c r="H57" s="4" t="s">
        <v>219</v>
      </c>
      <c r="I57" s="4">
        <v>44078</v>
      </c>
      <c r="J57" s="4" t="s">
        <v>68</v>
      </c>
      <c r="K57" s="4" t="s">
        <v>220</v>
      </c>
      <c r="L57" s="4" t="s">
        <v>39</v>
      </c>
      <c r="M57" s="5" t="str">
        <f>IF([1]Employees!$I57&gt;=90000, "High", "Low")</f>
        <v>Low</v>
      </c>
      <c r="N57" s="6" t="str" cm="1">
        <f t="array" ref="N57">_xlfn.IFS([1]Employees!$I57&gt;=90000, "High", [1]Employees!$I57&gt;=50000, "Medium", [1]Employees!$I57&lt;50000, "Low")</f>
        <v>Low</v>
      </c>
      <c r="O57" s="15" t="str">
        <f>IF([1]Employees!$I57&gt;=90000, "High", IF([1]Employees!$I57&gt;=50000, "Medium", "Low"))</f>
        <v>Low</v>
      </c>
    </row>
    <row r="58" spans="1:15" x14ac:dyDescent="0.3">
      <c r="A58" s="4" t="s">
        <v>221</v>
      </c>
      <c r="B58" s="4" t="s">
        <v>33</v>
      </c>
      <c r="C58" s="4" t="s">
        <v>66</v>
      </c>
      <c r="D58" s="4" t="s">
        <v>27</v>
      </c>
      <c r="E58" s="4">
        <v>32</v>
      </c>
      <c r="F58" s="4" t="s">
        <v>19</v>
      </c>
      <c r="G58" s="4" t="s">
        <v>29</v>
      </c>
      <c r="H58" s="4" t="s">
        <v>222</v>
      </c>
      <c r="I58" s="4">
        <v>60444</v>
      </c>
      <c r="J58" s="4" t="s">
        <v>68</v>
      </c>
      <c r="K58" s="4" t="s">
        <v>223</v>
      </c>
      <c r="L58" s="4" t="s">
        <v>39</v>
      </c>
      <c r="M58" s="5" t="str">
        <f>IF([1]Employees!$I58&gt;=90000, "High", "Low")</f>
        <v>Low</v>
      </c>
      <c r="N58" s="6" t="str" cm="1">
        <f t="array" ref="N58">_xlfn.IFS([1]Employees!$I58&gt;=90000, "High", [1]Employees!$I58&gt;=50000, "Medium", [1]Employees!$I58&lt;50000, "Low")</f>
        <v>Medium</v>
      </c>
      <c r="O58" s="15" t="str">
        <f>IF([1]Employees!$I58&gt;=90000, "High", IF([1]Employees!$I58&gt;=50000, "Medium", "Low"))</f>
        <v>Medium</v>
      </c>
    </row>
    <row r="59" spans="1:15" x14ac:dyDescent="0.3">
      <c r="A59" s="4" t="s">
        <v>224</v>
      </c>
      <c r="B59" s="4" t="s">
        <v>61</v>
      </c>
      <c r="C59" s="4" t="s">
        <v>81</v>
      </c>
      <c r="D59" s="4" t="s">
        <v>27</v>
      </c>
      <c r="E59" s="4">
        <v>26</v>
      </c>
      <c r="F59" s="4" t="s">
        <v>34</v>
      </c>
      <c r="G59" s="4" t="s">
        <v>29</v>
      </c>
      <c r="H59" s="4" t="s">
        <v>225</v>
      </c>
      <c r="I59" s="4">
        <v>37951</v>
      </c>
      <c r="J59" s="4" t="s">
        <v>37</v>
      </c>
      <c r="K59" s="4" t="s">
        <v>226</v>
      </c>
      <c r="L59" s="4" t="s">
        <v>39</v>
      </c>
      <c r="M59" s="5" t="str">
        <f>IF([1]Employees!$I59&gt;=90000, "High", "Low")</f>
        <v>Low</v>
      </c>
      <c r="N59" s="6" t="str" cm="1">
        <f t="array" ref="N59">_xlfn.IFS([1]Employees!$I59&gt;=90000, "High", [1]Employees!$I59&gt;=50000, "Medium", [1]Employees!$I59&lt;50000, "Low")</f>
        <v>Low</v>
      </c>
      <c r="O59" s="15" t="str">
        <f>IF([1]Employees!$I59&gt;=90000, "High", IF([1]Employees!$I59&gt;=50000, "Medium", "Low"))</f>
        <v>Low</v>
      </c>
    </row>
    <row r="60" spans="1:15" x14ac:dyDescent="0.3">
      <c r="A60" s="4" t="s">
        <v>227</v>
      </c>
      <c r="B60" s="4" t="s">
        <v>74</v>
      </c>
      <c r="C60" s="4" t="s">
        <v>133</v>
      </c>
      <c r="D60" s="4" t="s">
        <v>27</v>
      </c>
      <c r="E60" s="4">
        <v>36</v>
      </c>
      <c r="F60" s="4" t="s">
        <v>53</v>
      </c>
      <c r="G60" s="4" t="s">
        <v>29</v>
      </c>
      <c r="H60" s="4" t="s">
        <v>228</v>
      </c>
      <c r="I60" s="4">
        <v>88790</v>
      </c>
      <c r="J60" s="4" t="s">
        <v>83</v>
      </c>
      <c r="K60" s="4" t="s">
        <v>229</v>
      </c>
      <c r="L60" s="4" t="s">
        <v>39</v>
      </c>
      <c r="M60" s="5" t="str">
        <f>IF([1]Employees!$I60&gt;=90000, "High", "Low")</f>
        <v>Low</v>
      </c>
      <c r="N60" s="6" t="str" cm="1">
        <f t="array" ref="N60">_xlfn.IFS([1]Employees!$I60&gt;=90000, "High", [1]Employees!$I60&gt;=50000, "Medium", [1]Employees!$I60&lt;50000, "Low")</f>
        <v>Medium</v>
      </c>
      <c r="O60" s="15" t="str">
        <f>IF([1]Employees!$I60&gt;=90000, "High", IF([1]Employees!$I60&gt;=50000, "Medium", "Low"))</f>
        <v>Medium</v>
      </c>
    </row>
    <row r="61" spans="1:15" x14ac:dyDescent="0.3">
      <c r="A61" s="4" t="s">
        <v>230</v>
      </c>
      <c r="B61" s="4" t="s">
        <v>41</v>
      </c>
      <c r="C61" s="4" t="s">
        <v>66</v>
      </c>
      <c r="D61" s="4" t="s">
        <v>27</v>
      </c>
      <c r="E61" s="4">
        <v>50</v>
      </c>
      <c r="F61" s="4" t="s">
        <v>53</v>
      </c>
      <c r="G61" s="4" t="s">
        <v>35</v>
      </c>
      <c r="H61" s="4" t="s">
        <v>231</v>
      </c>
      <c r="I61" s="4">
        <v>119530</v>
      </c>
      <c r="J61" s="4" t="s">
        <v>22</v>
      </c>
      <c r="K61" s="4" t="s">
        <v>232</v>
      </c>
      <c r="L61" s="4" t="s">
        <v>39</v>
      </c>
      <c r="M61" s="5" t="str">
        <f>IF([1]Employees!$I61&gt;=90000, "High", "Low")</f>
        <v>High</v>
      </c>
      <c r="N61" s="6" t="str" cm="1">
        <f t="array" ref="N61">_xlfn.IFS([1]Employees!$I61&gt;=90000, "High", [1]Employees!$I61&gt;=50000, "Medium", [1]Employees!$I61&lt;50000, "Low")</f>
        <v>High</v>
      </c>
      <c r="O61" s="15" t="str">
        <f>IF([1]Employees!$I61&gt;=90000, "High", IF([1]Employees!$I61&gt;=50000, "Medium", "Low"))</f>
        <v>High</v>
      </c>
    </row>
    <row r="62" spans="1:15" x14ac:dyDescent="0.3">
      <c r="A62" s="4" t="s">
        <v>233</v>
      </c>
      <c r="B62" s="4" t="s">
        <v>146</v>
      </c>
      <c r="C62" s="4" t="s">
        <v>81</v>
      </c>
      <c r="D62" s="4" t="s">
        <v>18</v>
      </c>
      <c r="E62" s="4">
        <v>30</v>
      </c>
      <c r="F62" s="4" t="s">
        <v>19</v>
      </c>
      <c r="G62" s="4" t="s">
        <v>111</v>
      </c>
      <c r="H62" s="4" t="s">
        <v>234</v>
      </c>
      <c r="I62" s="4">
        <v>72048</v>
      </c>
      <c r="J62" s="4" t="s">
        <v>68</v>
      </c>
      <c r="K62" s="4" t="s">
        <v>235</v>
      </c>
      <c r="L62" s="4" t="s">
        <v>39</v>
      </c>
      <c r="M62" s="5" t="str">
        <f>IF([1]Employees!$I62&gt;=90000, "High", "Low")</f>
        <v>Low</v>
      </c>
      <c r="N62" s="6" t="str" cm="1">
        <f t="array" ref="N62">_xlfn.IFS([1]Employees!$I62&gt;=90000, "High", [1]Employees!$I62&gt;=50000, "Medium", [1]Employees!$I62&lt;50000, "Low")</f>
        <v>Medium</v>
      </c>
      <c r="O62" s="15" t="str">
        <f>IF([1]Employees!$I62&gt;=90000, "High", IF([1]Employees!$I62&gt;=50000, "Medium", "Low"))</f>
        <v>Medium</v>
      </c>
    </row>
    <row r="63" spans="1:15" x14ac:dyDescent="0.3">
      <c r="A63" s="4" t="s">
        <v>236</v>
      </c>
      <c r="B63" s="4" t="s">
        <v>57</v>
      </c>
      <c r="C63" s="4" t="s">
        <v>93</v>
      </c>
      <c r="D63" s="4" t="s">
        <v>27</v>
      </c>
      <c r="E63" s="4">
        <v>33</v>
      </c>
      <c r="F63" s="4" t="s">
        <v>34</v>
      </c>
      <c r="G63" s="4" t="s">
        <v>35</v>
      </c>
      <c r="H63" s="4" t="s">
        <v>237</v>
      </c>
      <c r="I63" s="4">
        <v>76700</v>
      </c>
      <c r="J63" s="4" t="s">
        <v>63</v>
      </c>
      <c r="K63" s="4" t="s">
        <v>238</v>
      </c>
      <c r="L63" s="4" t="s">
        <v>39</v>
      </c>
      <c r="M63" s="5" t="str">
        <f>IF([1]Employees!$I63&gt;=90000, "High", "Low")</f>
        <v>Low</v>
      </c>
      <c r="N63" s="6" t="str" cm="1">
        <f t="array" ref="N63">_xlfn.IFS([1]Employees!$I63&gt;=90000, "High", [1]Employees!$I63&gt;=50000, "Medium", [1]Employees!$I63&lt;50000, "Low")</f>
        <v>Medium</v>
      </c>
      <c r="O63" s="15" t="str">
        <f>IF([1]Employees!$I63&gt;=90000, "High", IF([1]Employees!$I63&gt;=50000, "Medium", "Low"))</f>
        <v>Medium</v>
      </c>
    </row>
    <row r="64" spans="1:15" x14ac:dyDescent="0.3">
      <c r="A64" s="4" t="s">
        <v>239</v>
      </c>
      <c r="B64" s="4" t="s">
        <v>74</v>
      </c>
      <c r="C64" s="4" t="s">
        <v>133</v>
      </c>
      <c r="D64" s="4" t="s">
        <v>27</v>
      </c>
      <c r="E64" s="4">
        <v>22</v>
      </c>
      <c r="F64" s="4" t="s">
        <v>19</v>
      </c>
      <c r="G64" s="4" t="s">
        <v>43</v>
      </c>
      <c r="H64" s="4" t="s">
        <v>240</v>
      </c>
      <c r="I64" s="4">
        <v>86315</v>
      </c>
      <c r="J64" s="4" t="s">
        <v>63</v>
      </c>
      <c r="K64" s="4" t="s">
        <v>241</v>
      </c>
      <c r="L64" s="4" t="s">
        <v>39</v>
      </c>
      <c r="M64" s="5" t="str">
        <f>IF([1]Employees!$I64&gt;=90000, "High", "Low")</f>
        <v>Low</v>
      </c>
      <c r="N64" s="6" t="str" cm="1">
        <f t="array" ref="N64">_xlfn.IFS([1]Employees!$I64&gt;=90000, "High", [1]Employees!$I64&gt;=50000, "Medium", [1]Employees!$I64&lt;50000, "Low")</f>
        <v>Medium</v>
      </c>
      <c r="O64" s="15" t="str">
        <f>IF([1]Employees!$I64&gt;=90000, "High", IF([1]Employees!$I64&gt;=50000, "Medium", "Low"))</f>
        <v>Medium</v>
      </c>
    </row>
    <row r="65" spans="1:15" x14ac:dyDescent="0.3">
      <c r="A65" s="4" t="s">
        <v>242</v>
      </c>
      <c r="B65" s="4" t="s">
        <v>41</v>
      </c>
      <c r="C65" s="4" t="s">
        <v>86</v>
      </c>
      <c r="D65" s="4" t="s">
        <v>18</v>
      </c>
      <c r="E65" s="4">
        <v>49</v>
      </c>
      <c r="F65" s="4" t="s">
        <v>53</v>
      </c>
      <c r="G65" s="4" t="s">
        <v>35</v>
      </c>
      <c r="H65" s="4" t="s">
        <v>243</v>
      </c>
      <c r="I65" s="4">
        <v>85454</v>
      </c>
      <c r="J65" s="4" t="s">
        <v>37</v>
      </c>
      <c r="K65" s="4" t="s">
        <v>244</v>
      </c>
      <c r="L65" s="4" t="s">
        <v>24</v>
      </c>
      <c r="M65" s="5" t="str">
        <f>IF([1]Employees!$I65&gt;=90000, "High", "Low")</f>
        <v>Low</v>
      </c>
      <c r="N65" s="6" t="str" cm="1">
        <f t="array" ref="N65">_xlfn.IFS([1]Employees!$I65&gt;=90000, "High", [1]Employees!$I65&gt;=50000, "Medium", [1]Employees!$I65&lt;50000, "Low")</f>
        <v>Medium</v>
      </c>
      <c r="O65" s="15" t="str">
        <f>IF([1]Employees!$I65&gt;=90000, "High", IF([1]Employees!$I65&gt;=50000, "Medium", "Low"))</f>
        <v>Medium</v>
      </c>
    </row>
    <row r="66" spans="1:15" x14ac:dyDescent="0.3">
      <c r="A66" s="4" t="s">
        <v>245</v>
      </c>
      <c r="B66" s="4" t="s">
        <v>33</v>
      </c>
      <c r="C66" s="4" t="s">
        <v>93</v>
      </c>
      <c r="D66" s="4" t="s">
        <v>27</v>
      </c>
      <c r="E66" s="4">
        <v>31</v>
      </c>
      <c r="F66" s="4" t="s">
        <v>19</v>
      </c>
      <c r="G66" s="4" t="s">
        <v>35</v>
      </c>
      <c r="H66" s="4" t="s">
        <v>246</v>
      </c>
      <c r="I66" s="4">
        <v>83281</v>
      </c>
      <c r="J66" s="4" t="s">
        <v>63</v>
      </c>
      <c r="K66" s="4" t="s">
        <v>247</v>
      </c>
      <c r="L66" s="4" t="s">
        <v>39</v>
      </c>
      <c r="M66" s="5" t="str">
        <f>IF([1]Employees!$I66&gt;=90000, "High", "Low")</f>
        <v>Low</v>
      </c>
      <c r="N66" s="6" t="str" cm="1">
        <f t="array" ref="N66">_xlfn.IFS([1]Employees!$I66&gt;=90000, "High", [1]Employees!$I66&gt;=50000, "Medium", [1]Employees!$I66&lt;50000, "Low")</f>
        <v>Medium</v>
      </c>
      <c r="O66" s="15" t="str">
        <f>IF([1]Employees!$I66&gt;=90000, "High", IF([1]Employees!$I66&gt;=50000, "Medium", "Low"))</f>
        <v>Medium</v>
      </c>
    </row>
    <row r="67" spans="1:15" x14ac:dyDescent="0.3">
      <c r="A67" s="4" t="s">
        <v>248</v>
      </c>
      <c r="B67" s="4" t="s">
        <v>61</v>
      </c>
      <c r="C67" s="4" t="s">
        <v>168</v>
      </c>
      <c r="D67" s="4" t="s">
        <v>18</v>
      </c>
      <c r="E67" s="4">
        <v>31</v>
      </c>
      <c r="F67" s="4" t="s">
        <v>19</v>
      </c>
      <c r="G67" s="4" t="s">
        <v>43</v>
      </c>
      <c r="H67" s="4" t="s">
        <v>249</v>
      </c>
      <c r="I67" s="4">
        <v>44531</v>
      </c>
      <c r="J67" s="4" t="s">
        <v>37</v>
      </c>
      <c r="K67" s="4" t="s">
        <v>250</v>
      </c>
      <c r="L67" s="4" t="s">
        <v>24</v>
      </c>
      <c r="M67" s="5" t="str">
        <f>IF([1]Employees!$I67&gt;=90000, "High", "Low")</f>
        <v>Low</v>
      </c>
      <c r="N67" s="6" t="str" cm="1">
        <f t="array" ref="N67">_xlfn.IFS([1]Employees!$I67&gt;=90000, "High", [1]Employees!$I67&gt;=50000, "Medium", [1]Employees!$I67&lt;50000, "Low")</f>
        <v>Low</v>
      </c>
      <c r="O67" s="15" t="str">
        <f>IF([1]Employees!$I67&gt;=90000, "High", IF([1]Employees!$I67&gt;=50000, "Medium", "Low"))</f>
        <v>Low</v>
      </c>
    </row>
    <row r="68" spans="1:15" x14ac:dyDescent="0.3">
      <c r="A68" s="4" t="s">
        <v>251</v>
      </c>
      <c r="B68" s="4" t="s">
        <v>41</v>
      </c>
      <c r="C68" s="4" t="s">
        <v>133</v>
      </c>
      <c r="D68" s="4" t="s">
        <v>27</v>
      </c>
      <c r="E68" s="4">
        <v>36</v>
      </c>
      <c r="F68" s="4" t="s">
        <v>34</v>
      </c>
      <c r="G68" s="4" t="s">
        <v>20</v>
      </c>
      <c r="H68" s="4" t="s">
        <v>252</v>
      </c>
      <c r="I68" s="4">
        <v>44990</v>
      </c>
      <c r="J68" s="4" t="s">
        <v>83</v>
      </c>
      <c r="K68" s="4" t="s">
        <v>253</v>
      </c>
      <c r="L68" s="4" t="s">
        <v>24</v>
      </c>
      <c r="M68" s="5" t="str">
        <f>IF([1]Employees!$I68&gt;=90000, "High", "Low")</f>
        <v>Low</v>
      </c>
      <c r="N68" s="6" t="str" cm="1">
        <f t="array" ref="N68">_xlfn.IFS([1]Employees!$I68&gt;=90000, "High", [1]Employees!$I68&gt;=50000, "Medium", [1]Employees!$I68&lt;50000, "Low")</f>
        <v>Low</v>
      </c>
      <c r="O68" s="15" t="str">
        <f>IF([1]Employees!$I68&gt;=90000, "High", IF([1]Employees!$I68&gt;=50000, "Medium", "Low"))</f>
        <v>Low</v>
      </c>
    </row>
    <row r="69" spans="1:15" x14ac:dyDescent="0.3">
      <c r="A69" s="4" t="s">
        <v>254</v>
      </c>
      <c r="B69" s="4" t="s">
        <v>47</v>
      </c>
      <c r="C69" s="4" t="s">
        <v>26</v>
      </c>
      <c r="D69" s="4" t="s">
        <v>18</v>
      </c>
      <c r="E69" s="4">
        <v>34</v>
      </c>
      <c r="F69" s="4" t="s">
        <v>19</v>
      </c>
      <c r="G69" s="4" t="s">
        <v>35</v>
      </c>
      <c r="H69" s="4" t="s">
        <v>255</v>
      </c>
      <c r="I69" s="4">
        <v>39110</v>
      </c>
      <c r="J69" s="4" t="s">
        <v>37</v>
      </c>
      <c r="K69" s="4" t="s">
        <v>256</v>
      </c>
      <c r="L69" s="4" t="s">
        <v>39</v>
      </c>
      <c r="M69" s="5" t="str">
        <f>IF([1]Employees!$I69&gt;=90000, "High", "Low")</f>
        <v>Low</v>
      </c>
      <c r="N69" s="6" t="str" cm="1">
        <f t="array" ref="N69">_xlfn.IFS([1]Employees!$I69&gt;=90000, "High", [1]Employees!$I69&gt;=50000, "Medium", [1]Employees!$I69&lt;50000, "Low")</f>
        <v>Low</v>
      </c>
      <c r="O69" s="15" t="str">
        <f>IF([1]Employees!$I69&gt;=90000, "High", IF([1]Employees!$I69&gt;=50000, "Medium", "Low"))</f>
        <v>Low</v>
      </c>
    </row>
    <row r="70" spans="1:15" x14ac:dyDescent="0.3">
      <c r="A70" s="4" t="s">
        <v>257</v>
      </c>
      <c r="B70" s="4" t="s">
        <v>16</v>
      </c>
      <c r="C70" s="4" t="s">
        <v>48</v>
      </c>
      <c r="D70" s="4" t="s">
        <v>27</v>
      </c>
      <c r="E70" s="4">
        <v>35</v>
      </c>
      <c r="F70" s="4" t="s">
        <v>53</v>
      </c>
      <c r="G70" s="4" t="s">
        <v>43</v>
      </c>
      <c r="H70" s="4" t="s">
        <v>258</v>
      </c>
      <c r="I70" s="4">
        <v>60760</v>
      </c>
      <c r="J70" s="4" t="s">
        <v>83</v>
      </c>
      <c r="K70" s="4" t="s">
        <v>259</v>
      </c>
      <c r="L70" s="4" t="s">
        <v>39</v>
      </c>
      <c r="M70" s="5" t="str">
        <f>IF([1]Employees!$I70&gt;=90000, "High", "Low")</f>
        <v>Low</v>
      </c>
      <c r="N70" s="6" t="str" cm="1">
        <f t="array" ref="N70">_xlfn.IFS([1]Employees!$I70&gt;=90000, "High", [1]Employees!$I70&gt;=50000, "Medium", [1]Employees!$I70&lt;50000, "Low")</f>
        <v>Medium</v>
      </c>
      <c r="O70" s="15" t="str">
        <f>IF([1]Employees!$I70&gt;=90000, "High", IF([1]Employees!$I70&gt;=50000, "Medium", "Low"))</f>
        <v>Medium</v>
      </c>
    </row>
    <row r="71" spans="1:15" x14ac:dyDescent="0.3">
      <c r="A71" s="4" t="s">
        <v>260</v>
      </c>
      <c r="B71" s="4" t="s">
        <v>41</v>
      </c>
      <c r="C71" s="4" t="s">
        <v>93</v>
      </c>
      <c r="D71" s="4" t="s">
        <v>18</v>
      </c>
      <c r="E71" s="4">
        <v>27</v>
      </c>
      <c r="F71" s="4" t="s">
        <v>34</v>
      </c>
      <c r="G71" s="4" t="s">
        <v>29</v>
      </c>
      <c r="H71" s="4" t="s">
        <v>261</v>
      </c>
      <c r="I71" s="4">
        <v>118796</v>
      </c>
      <c r="J71" s="4" t="s">
        <v>63</v>
      </c>
      <c r="K71" s="4" t="s">
        <v>262</v>
      </c>
      <c r="L71" s="4" t="s">
        <v>39</v>
      </c>
      <c r="M71" s="5" t="str">
        <f>IF([1]Employees!$I71&gt;=90000, "High", "Low")</f>
        <v>High</v>
      </c>
      <c r="N71" s="6" t="str" cm="1">
        <f t="array" ref="N71">_xlfn.IFS([1]Employees!$I71&gt;=90000, "High", [1]Employees!$I71&gt;=50000, "Medium", [1]Employees!$I71&lt;50000, "Low")</f>
        <v>High</v>
      </c>
      <c r="O71" s="15" t="str">
        <f>IF([1]Employees!$I71&gt;=90000, "High", IF([1]Employees!$I71&gt;=50000, "Medium", "Low"))</f>
        <v>High</v>
      </c>
    </row>
    <row r="72" spans="1:15" x14ac:dyDescent="0.3">
      <c r="A72" s="4" t="s">
        <v>263</v>
      </c>
      <c r="B72" s="4" t="s">
        <v>74</v>
      </c>
      <c r="C72" s="4" t="s">
        <v>93</v>
      </c>
      <c r="D72" s="4" t="s">
        <v>18</v>
      </c>
      <c r="E72" s="4">
        <v>49</v>
      </c>
      <c r="F72" s="4" t="s">
        <v>34</v>
      </c>
      <c r="G72" s="4" t="s">
        <v>20</v>
      </c>
      <c r="H72" s="4" t="s">
        <v>264</v>
      </c>
      <c r="I72" s="4">
        <v>88225</v>
      </c>
      <c r="J72" s="4" t="s">
        <v>37</v>
      </c>
      <c r="K72" s="4" t="s">
        <v>265</v>
      </c>
      <c r="L72" s="4" t="s">
        <v>24</v>
      </c>
      <c r="M72" s="5" t="str">
        <f>IF([1]Employees!$I72&gt;=90000, "High", "Low")</f>
        <v>Low</v>
      </c>
      <c r="N72" s="6" t="str" cm="1">
        <f t="array" ref="N72">_xlfn.IFS([1]Employees!$I72&gt;=90000, "High", [1]Employees!$I72&gt;=50000, "Medium", [1]Employees!$I72&lt;50000, "Low")</f>
        <v>Medium</v>
      </c>
      <c r="O72" s="15" t="str">
        <f>IF([1]Employees!$I72&gt;=90000, "High", IF([1]Employees!$I72&gt;=50000, "Medium", "Low"))</f>
        <v>Medium</v>
      </c>
    </row>
    <row r="73" spans="1:15" x14ac:dyDescent="0.3">
      <c r="A73" s="4" t="s">
        <v>266</v>
      </c>
      <c r="B73" s="4" t="s">
        <v>52</v>
      </c>
      <c r="C73" s="4" t="s">
        <v>93</v>
      </c>
      <c r="D73" s="4" t="s">
        <v>18</v>
      </c>
      <c r="E73" s="4">
        <v>22</v>
      </c>
      <c r="F73" s="4" t="s">
        <v>34</v>
      </c>
      <c r="G73" s="4" t="s">
        <v>111</v>
      </c>
      <c r="H73" s="4" t="s">
        <v>267</v>
      </c>
      <c r="I73" s="4">
        <v>64891</v>
      </c>
      <c r="J73" s="4" t="s">
        <v>68</v>
      </c>
      <c r="K73" s="4" t="s">
        <v>268</v>
      </c>
      <c r="L73" s="4" t="s">
        <v>24</v>
      </c>
      <c r="M73" s="5" t="str">
        <f>IF([1]Employees!$I73&gt;=90000, "High", "Low")</f>
        <v>Low</v>
      </c>
      <c r="N73" s="6" t="str" cm="1">
        <f t="array" ref="N73">_xlfn.IFS([1]Employees!$I73&gt;=90000, "High", [1]Employees!$I73&gt;=50000, "Medium", [1]Employees!$I73&lt;50000, "Low")</f>
        <v>Medium</v>
      </c>
      <c r="O73" s="15" t="str">
        <f>IF([1]Employees!$I73&gt;=90000, "High", IF([1]Employees!$I73&gt;=50000, "Medium", "Low"))</f>
        <v>Medium</v>
      </c>
    </row>
    <row r="74" spans="1:15" x14ac:dyDescent="0.3">
      <c r="A74" s="4" t="s">
        <v>269</v>
      </c>
      <c r="B74" s="4" t="s">
        <v>47</v>
      </c>
      <c r="C74" s="4" t="s">
        <v>48</v>
      </c>
      <c r="D74" s="4" t="s">
        <v>27</v>
      </c>
      <c r="E74" s="4">
        <v>48</v>
      </c>
      <c r="F74" s="4" t="s">
        <v>53</v>
      </c>
      <c r="G74" s="4" t="s">
        <v>35</v>
      </c>
      <c r="H74" s="4" t="s">
        <v>270</v>
      </c>
      <c r="I74" s="4">
        <v>72035</v>
      </c>
      <c r="J74" s="4" t="s">
        <v>22</v>
      </c>
      <c r="K74" s="4" t="s">
        <v>271</v>
      </c>
      <c r="L74" s="4" t="s">
        <v>24</v>
      </c>
      <c r="M74" s="5" t="str">
        <f>IF([1]Employees!$I74&gt;=90000, "High", "Low")</f>
        <v>Low</v>
      </c>
      <c r="N74" s="6" t="str" cm="1">
        <f t="array" ref="N74">_xlfn.IFS([1]Employees!$I74&gt;=90000, "High", [1]Employees!$I74&gt;=50000, "Medium", [1]Employees!$I74&lt;50000, "Low")</f>
        <v>Medium</v>
      </c>
      <c r="O74" s="15" t="str">
        <f>IF([1]Employees!$I74&gt;=90000, "High", IF([1]Employees!$I74&gt;=50000, "Medium", "Low"))</f>
        <v>Medium</v>
      </c>
    </row>
    <row r="75" spans="1:15" x14ac:dyDescent="0.3">
      <c r="A75" s="4" t="s">
        <v>272</v>
      </c>
      <c r="B75" s="4" t="s">
        <v>16</v>
      </c>
      <c r="C75" s="4" t="s">
        <v>133</v>
      </c>
      <c r="D75" s="4" t="s">
        <v>27</v>
      </c>
      <c r="E75" s="4">
        <v>30</v>
      </c>
      <c r="F75" s="4" t="s">
        <v>19</v>
      </c>
      <c r="G75" s="4" t="s">
        <v>20</v>
      </c>
      <c r="H75" s="4" t="s">
        <v>273</v>
      </c>
      <c r="I75" s="4">
        <v>50545</v>
      </c>
      <c r="J75" s="4" t="s">
        <v>83</v>
      </c>
      <c r="K75" s="4" t="s">
        <v>274</v>
      </c>
      <c r="L75" s="4" t="s">
        <v>24</v>
      </c>
      <c r="M75" s="5" t="str">
        <f>IF([1]Employees!$I75&gt;=90000, "High", "Low")</f>
        <v>Low</v>
      </c>
      <c r="N75" s="6" t="str" cm="1">
        <f t="array" ref="N75">_xlfn.IFS([1]Employees!$I75&gt;=90000, "High", [1]Employees!$I75&gt;=50000, "Medium", [1]Employees!$I75&lt;50000, "Low")</f>
        <v>Medium</v>
      </c>
      <c r="O75" s="15" t="str">
        <f>IF([1]Employees!$I75&gt;=90000, "High", IF([1]Employees!$I75&gt;=50000, "Medium", "Low"))</f>
        <v>Medium</v>
      </c>
    </row>
    <row r="76" spans="1:15" x14ac:dyDescent="0.3">
      <c r="A76" s="4" t="s">
        <v>275</v>
      </c>
      <c r="B76" s="4" t="s">
        <v>146</v>
      </c>
      <c r="C76" s="4" t="s">
        <v>26</v>
      </c>
      <c r="D76" s="4" t="s">
        <v>27</v>
      </c>
      <c r="E76" s="4">
        <v>36</v>
      </c>
      <c r="F76" s="4" t="s">
        <v>19</v>
      </c>
      <c r="G76" s="4" t="s">
        <v>35</v>
      </c>
      <c r="H76" s="4" t="s">
        <v>276</v>
      </c>
      <c r="I76" s="4">
        <v>79385</v>
      </c>
      <c r="J76" s="4" t="s">
        <v>37</v>
      </c>
      <c r="K76" s="4" t="s">
        <v>277</v>
      </c>
      <c r="L76" s="4" t="s">
        <v>24</v>
      </c>
      <c r="M76" s="5" t="str">
        <f>IF([1]Employees!$I76&gt;=90000, "High", "Low")</f>
        <v>Low</v>
      </c>
      <c r="N76" s="6" t="str" cm="1">
        <f t="array" ref="N76">_xlfn.IFS([1]Employees!$I76&gt;=90000, "High", [1]Employees!$I76&gt;=50000, "Medium", [1]Employees!$I76&lt;50000, "Low")</f>
        <v>Medium</v>
      </c>
      <c r="O76" s="15" t="str">
        <f>IF([1]Employees!$I76&gt;=90000, "High", IF([1]Employees!$I76&gt;=50000, "Medium", "Low"))</f>
        <v>Medium</v>
      </c>
    </row>
    <row r="77" spans="1:15" x14ac:dyDescent="0.3">
      <c r="A77" s="4" t="s">
        <v>278</v>
      </c>
      <c r="B77" s="4" t="s">
        <v>57</v>
      </c>
      <c r="C77" s="4" t="s">
        <v>17</v>
      </c>
      <c r="D77" s="4" t="s">
        <v>18</v>
      </c>
      <c r="E77" s="4">
        <v>52</v>
      </c>
      <c r="F77" s="4" t="s">
        <v>53</v>
      </c>
      <c r="G77" s="4" t="s">
        <v>35</v>
      </c>
      <c r="H77" s="4" t="s">
        <v>279</v>
      </c>
      <c r="I77" s="4">
        <v>48744</v>
      </c>
      <c r="J77" s="4" t="s">
        <v>68</v>
      </c>
      <c r="K77" s="4" t="s">
        <v>280</v>
      </c>
      <c r="L77" s="4" t="s">
        <v>39</v>
      </c>
      <c r="M77" s="5" t="str">
        <f>IF([1]Employees!$I77&gt;=90000, "High", "Low")</f>
        <v>Low</v>
      </c>
      <c r="N77" s="6" t="str" cm="1">
        <f t="array" ref="N77">_xlfn.IFS([1]Employees!$I77&gt;=90000, "High", [1]Employees!$I77&gt;=50000, "Medium", [1]Employees!$I77&lt;50000, "Low")</f>
        <v>Low</v>
      </c>
      <c r="O77" s="15" t="str">
        <f>IF([1]Employees!$I77&gt;=90000, "High", IF([1]Employees!$I77&gt;=50000, "Medium", "Low"))</f>
        <v>Low</v>
      </c>
    </row>
    <row r="78" spans="1:15" x14ac:dyDescent="0.3">
      <c r="A78" s="4" t="s">
        <v>281</v>
      </c>
      <c r="B78" s="4" t="s">
        <v>146</v>
      </c>
      <c r="C78" s="4" t="s">
        <v>98</v>
      </c>
      <c r="D78" s="4" t="s">
        <v>27</v>
      </c>
      <c r="E78" s="4">
        <v>53</v>
      </c>
      <c r="F78" s="4" t="s">
        <v>28</v>
      </c>
      <c r="G78" s="4" t="s">
        <v>111</v>
      </c>
      <c r="H78" s="4" t="s">
        <v>282</v>
      </c>
      <c r="I78" s="4">
        <v>48865</v>
      </c>
      <c r="J78" s="4" t="s">
        <v>63</v>
      </c>
      <c r="K78" s="4" t="s">
        <v>283</v>
      </c>
      <c r="L78" s="4" t="s">
        <v>24</v>
      </c>
      <c r="M78" s="5" t="str">
        <f>IF([1]Employees!$I78&gt;=90000, "High", "Low")</f>
        <v>Low</v>
      </c>
      <c r="N78" s="6" t="str" cm="1">
        <f t="array" ref="N78">_xlfn.IFS([1]Employees!$I78&gt;=90000, "High", [1]Employees!$I78&gt;=50000, "Medium", [1]Employees!$I78&lt;50000, "Low")</f>
        <v>Low</v>
      </c>
      <c r="O78" s="15" t="str">
        <f>IF([1]Employees!$I78&gt;=90000, "High", IF([1]Employees!$I78&gt;=50000, "Medium", "Low"))</f>
        <v>Low</v>
      </c>
    </row>
    <row r="79" spans="1:15" x14ac:dyDescent="0.3">
      <c r="A79" s="4" t="s">
        <v>284</v>
      </c>
      <c r="B79" s="4" t="s">
        <v>52</v>
      </c>
      <c r="C79" s="4" t="s">
        <v>66</v>
      </c>
      <c r="D79" s="4" t="s">
        <v>18</v>
      </c>
      <c r="E79" s="4">
        <v>53</v>
      </c>
      <c r="F79" s="4" t="s">
        <v>53</v>
      </c>
      <c r="G79" s="4" t="s">
        <v>20</v>
      </c>
      <c r="H79" s="4" t="s">
        <v>285</v>
      </c>
      <c r="I79" s="4">
        <v>73437</v>
      </c>
      <c r="J79" s="4" t="s">
        <v>68</v>
      </c>
      <c r="K79" s="4" t="s">
        <v>286</v>
      </c>
      <c r="L79" s="4" t="s">
        <v>39</v>
      </c>
      <c r="M79" s="5" t="str">
        <f>IF([1]Employees!$I79&gt;=90000, "High", "Low")</f>
        <v>Low</v>
      </c>
      <c r="N79" s="6" t="str" cm="1">
        <f t="array" ref="N79">_xlfn.IFS([1]Employees!$I79&gt;=90000, "High", [1]Employees!$I79&gt;=50000, "Medium", [1]Employees!$I79&lt;50000, "Low")</f>
        <v>Medium</v>
      </c>
      <c r="O79" s="15" t="str">
        <f>IF([1]Employees!$I79&gt;=90000, "High", IF([1]Employees!$I79&gt;=50000, "Medium", "Low"))</f>
        <v>Medium</v>
      </c>
    </row>
    <row r="80" spans="1:15" x14ac:dyDescent="0.3">
      <c r="A80" s="4" t="s">
        <v>287</v>
      </c>
      <c r="B80" s="4" t="s">
        <v>57</v>
      </c>
      <c r="C80" s="4" t="s">
        <v>168</v>
      </c>
      <c r="D80" s="4" t="s">
        <v>18</v>
      </c>
      <c r="E80" s="4">
        <v>25</v>
      </c>
      <c r="F80" s="4" t="s">
        <v>42</v>
      </c>
      <c r="G80" s="4" t="s">
        <v>20</v>
      </c>
      <c r="H80" s="4" t="s">
        <v>288</v>
      </c>
      <c r="I80" s="4">
        <v>75232</v>
      </c>
      <c r="J80" s="4" t="s">
        <v>83</v>
      </c>
      <c r="K80" s="4" t="s">
        <v>289</v>
      </c>
      <c r="L80" s="4" t="s">
        <v>24</v>
      </c>
      <c r="M80" s="5" t="str">
        <f>IF([1]Employees!$I80&gt;=90000, "High", "Low")</f>
        <v>Low</v>
      </c>
      <c r="N80" s="6" t="str" cm="1">
        <f t="array" ref="N80">_xlfn.IFS([1]Employees!$I80&gt;=90000, "High", [1]Employees!$I80&gt;=50000, "Medium", [1]Employees!$I80&lt;50000, "Low")</f>
        <v>Medium</v>
      </c>
      <c r="O80" s="15" t="str">
        <f>IF([1]Employees!$I80&gt;=90000, "High", IF([1]Employees!$I80&gt;=50000, "Medium", "Low"))</f>
        <v>Medium</v>
      </c>
    </row>
    <row r="81" spans="1:15" x14ac:dyDescent="0.3">
      <c r="A81" s="4" t="s">
        <v>290</v>
      </c>
      <c r="B81" s="4" t="s">
        <v>74</v>
      </c>
      <c r="C81" s="4" t="s">
        <v>17</v>
      </c>
      <c r="D81" s="4" t="s">
        <v>18</v>
      </c>
      <c r="E81" s="4">
        <v>48</v>
      </c>
      <c r="F81" s="4" t="s">
        <v>34</v>
      </c>
      <c r="G81" s="4" t="s">
        <v>20</v>
      </c>
      <c r="H81" s="4" t="s">
        <v>291</v>
      </c>
      <c r="I81" s="4">
        <v>53034</v>
      </c>
      <c r="J81" s="4" t="s">
        <v>68</v>
      </c>
      <c r="K81" s="4" t="s">
        <v>292</v>
      </c>
      <c r="L81" s="4" t="s">
        <v>24</v>
      </c>
      <c r="M81" s="5" t="str">
        <f>IF([1]Employees!$I81&gt;=90000, "High", "Low")</f>
        <v>Low</v>
      </c>
      <c r="N81" s="6" t="str" cm="1">
        <f t="array" ref="N81">_xlfn.IFS([1]Employees!$I81&gt;=90000, "High", [1]Employees!$I81&gt;=50000, "Medium", [1]Employees!$I81&lt;50000, "Low")</f>
        <v>Medium</v>
      </c>
      <c r="O81" s="15" t="str">
        <f>IF([1]Employees!$I81&gt;=90000, "High", IF([1]Employees!$I81&gt;=50000, "Medium", "Low"))</f>
        <v>Medium</v>
      </c>
    </row>
    <row r="82" spans="1:15" x14ac:dyDescent="0.3">
      <c r="A82" s="4" t="s">
        <v>293</v>
      </c>
      <c r="B82" s="4" t="s">
        <v>74</v>
      </c>
      <c r="C82" s="4" t="s">
        <v>26</v>
      </c>
      <c r="D82" s="4" t="s">
        <v>27</v>
      </c>
      <c r="E82" s="4">
        <v>45</v>
      </c>
      <c r="F82" s="4" t="s">
        <v>19</v>
      </c>
      <c r="G82" s="4" t="s">
        <v>20</v>
      </c>
      <c r="H82" s="4" t="s">
        <v>294</v>
      </c>
      <c r="I82" s="4">
        <v>110168</v>
      </c>
      <c r="J82" s="4" t="s">
        <v>63</v>
      </c>
      <c r="K82" s="4" t="s">
        <v>295</v>
      </c>
      <c r="L82" s="4" t="s">
        <v>39</v>
      </c>
      <c r="M82" s="5" t="str">
        <f>IF([1]Employees!$I82&gt;=90000, "High", "Low")</f>
        <v>High</v>
      </c>
      <c r="N82" s="6" t="str" cm="1">
        <f t="array" ref="N82">_xlfn.IFS([1]Employees!$I82&gt;=90000, "High", [1]Employees!$I82&gt;=50000, "Medium", [1]Employees!$I82&lt;50000, "Low")</f>
        <v>High</v>
      </c>
      <c r="O82" s="15" t="str">
        <f>IF([1]Employees!$I82&gt;=90000, "High", IF([1]Employees!$I82&gt;=50000, "Medium", "Low"))</f>
        <v>High</v>
      </c>
    </row>
    <row r="83" spans="1:15" x14ac:dyDescent="0.3">
      <c r="A83" s="4" t="s">
        <v>296</v>
      </c>
      <c r="B83" s="4" t="s">
        <v>41</v>
      </c>
      <c r="C83" s="4" t="s">
        <v>81</v>
      </c>
      <c r="D83" s="4" t="s">
        <v>18</v>
      </c>
      <c r="E83" s="4">
        <v>51</v>
      </c>
      <c r="F83" s="4" t="s">
        <v>28</v>
      </c>
      <c r="G83" s="4" t="s">
        <v>35</v>
      </c>
      <c r="H83" s="4" t="s">
        <v>297</v>
      </c>
      <c r="I83" s="4">
        <v>107488</v>
      </c>
      <c r="J83" s="4" t="s">
        <v>37</v>
      </c>
      <c r="K83" s="4" t="s">
        <v>298</v>
      </c>
      <c r="L83" s="4" t="s">
        <v>39</v>
      </c>
      <c r="M83" s="5" t="str">
        <f>IF([1]Employees!$I83&gt;=90000, "High", "Low")</f>
        <v>High</v>
      </c>
      <c r="N83" s="6" t="str" cm="1">
        <f t="array" ref="N83">_xlfn.IFS([1]Employees!$I83&gt;=90000, "High", [1]Employees!$I83&gt;=50000, "Medium", [1]Employees!$I83&lt;50000, "Low")</f>
        <v>High</v>
      </c>
      <c r="O83" s="15" t="str">
        <f>IF([1]Employees!$I83&gt;=90000, "High", IF([1]Employees!$I83&gt;=50000, "Medium", "Low"))</f>
        <v>High</v>
      </c>
    </row>
    <row r="84" spans="1:15" x14ac:dyDescent="0.3">
      <c r="A84" s="4" t="s">
        <v>299</v>
      </c>
      <c r="B84" s="4" t="s">
        <v>47</v>
      </c>
      <c r="C84" s="4" t="s">
        <v>48</v>
      </c>
      <c r="D84" s="4" t="s">
        <v>18</v>
      </c>
      <c r="E84" s="4">
        <v>50</v>
      </c>
      <c r="F84" s="4" t="s">
        <v>34</v>
      </c>
      <c r="G84" s="4" t="s">
        <v>20</v>
      </c>
      <c r="H84" s="4" t="s">
        <v>300</v>
      </c>
      <c r="I84" s="4">
        <v>53754</v>
      </c>
      <c r="J84" s="4" t="s">
        <v>37</v>
      </c>
      <c r="K84" s="4" t="s">
        <v>301</v>
      </c>
      <c r="L84" s="4" t="s">
        <v>39</v>
      </c>
      <c r="M84" s="5" t="str">
        <f>IF([1]Employees!$I84&gt;=90000, "High", "Low")</f>
        <v>Low</v>
      </c>
      <c r="N84" s="6" t="str" cm="1">
        <f t="array" ref="N84">_xlfn.IFS([1]Employees!$I84&gt;=90000, "High", [1]Employees!$I84&gt;=50000, "Medium", [1]Employees!$I84&lt;50000, "Low")</f>
        <v>Medium</v>
      </c>
      <c r="O84" s="15" t="str">
        <f>IF([1]Employees!$I84&gt;=90000, "High", IF([1]Employees!$I84&gt;=50000, "Medium", "Low"))</f>
        <v>Medium</v>
      </c>
    </row>
    <row r="85" spans="1:15" x14ac:dyDescent="0.3">
      <c r="A85" s="4" t="s">
        <v>302</v>
      </c>
      <c r="B85" s="4" t="s">
        <v>97</v>
      </c>
      <c r="C85" s="4" t="s">
        <v>133</v>
      </c>
      <c r="D85" s="4" t="s">
        <v>27</v>
      </c>
      <c r="E85" s="4">
        <v>47</v>
      </c>
      <c r="F85" s="4" t="s">
        <v>19</v>
      </c>
      <c r="G85" s="4" t="s">
        <v>35</v>
      </c>
      <c r="H85" s="4" t="s">
        <v>303</v>
      </c>
      <c r="I85" s="4">
        <v>99891</v>
      </c>
      <c r="J85" s="4" t="s">
        <v>37</v>
      </c>
      <c r="K85" s="4" t="s">
        <v>304</v>
      </c>
      <c r="L85" s="4" t="s">
        <v>39</v>
      </c>
      <c r="M85" s="5" t="str">
        <f>IF([1]Employees!$I85&gt;=90000, "High", "Low")</f>
        <v>High</v>
      </c>
      <c r="N85" s="6" t="str" cm="1">
        <f t="array" ref="N85">_xlfn.IFS([1]Employees!$I85&gt;=90000, "High", [1]Employees!$I85&gt;=50000, "Medium", [1]Employees!$I85&lt;50000, "Low")</f>
        <v>High</v>
      </c>
      <c r="O85" s="15" t="str">
        <f>IF([1]Employees!$I85&gt;=90000, "High", IF([1]Employees!$I85&gt;=50000, "Medium", "Low"))</f>
        <v>High</v>
      </c>
    </row>
    <row r="86" spans="1:15" x14ac:dyDescent="0.3">
      <c r="A86" s="4" t="s">
        <v>305</v>
      </c>
      <c r="B86" s="4" t="s">
        <v>57</v>
      </c>
      <c r="C86" s="4" t="s">
        <v>93</v>
      </c>
      <c r="D86" s="4" t="s">
        <v>27</v>
      </c>
      <c r="E86" s="4">
        <v>37</v>
      </c>
      <c r="F86" s="4" t="s">
        <v>34</v>
      </c>
      <c r="G86" s="4" t="s">
        <v>29</v>
      </c>
      <c r="H86" s="4" t="s">
        <v>306</v>
      </c>
      <c r="I86" s="4">
        <v>109363</v>
      </c>
      <c r="J86" s="4" t="s">
        <v>63</v>
      </c>
      <c r="K86" s="4" t="s">
        <v>307</v>
      </c>
      <c r="L86" s="4" t="s">
        <v>39</v>
      </c>
      <c r="M86" s="5" t="str">
        <f>IF([1]Employees!$I86&gt;=90000, "High", "Low")</f>
        <v>High</v>
      </c>
      <c r="N86" s="6" t="str" cm="1">
        <f t="array" ref="N86">_xlfn.IFS([1]Employees!$I86&gt;=90000, "High", [1]Employees!$I86&gt;=50000, "Medium", [1]Employees!$I86&lt;50000, "Low")</f>
        <v>High</v>
      </c>
      <c r="O86" s="15" t="str">
        <f>IF([1]Employees!$I86&gt;=90000, "High", IF([1]Employees!$I86&gt;=50000, "Medium", "Low"))</f>
        <v>High</v>
      </c>
    </row>
    <row r="87" spans="1:15" x14ac:dyDescent="0.3">
      <c r="A87" s="4" t="s">
        <v>308</v>
      </c>
      <c r="B87" s="4" t="s">
        <v>61</v>
      </c>
      <c r="C87" s="4" t="s">
        <v>81</v>
      </c>
      <c r="D87" s="4" t="s">
        <v>27</v>
      </c>
      <c r="E87" s="4">
        <v>26</v>
      </c>
      <c r="F87" s="4" t="s">
        <v>42</v>
      </c>
      <c r="G87" s="4" t="s">
        <v>43</v>
      </c>
      <c r="H87" s="4" t="s">
        <v>147</v>
      </c>
      <c r="I87" s="4">
        <v>57248</v>
      </c>
      <c r="J87" s="4" t="s">
        <v>22</v>
      </c>
      <c r="K87" s="4" t="s">
        <v>309</v>
      </c>
      <c r="L87" s="4" t="s">
        <v>24</v>
      </c>
      <c r="M87" s="5" t="str">
        <f>IF([1]Employees!$I87&gt;=90000, "High", "Low")</f>
        <v>Low</v>
      </c>
      <c r="N87" s="6" t="str" cm="1">
        <f t="array" ref="N87">_xlfn.IFS([1]Employees!$I87&gt;=90000, "High", [1]Employees!$I87&gt;=50000, "Medium", [1]Employees!$I87&lt;50000, "Low")</f>
        <v>Medium</v>
      </c>
      <c r="O87" s="15" t="str">
        <f>IF([1]Employees!$I87&gt;=90000, "High", IF([1]Employees!$I87&gt;=50000, "Medium", "Low"))</f>
        <v>Medium</v>
      </c>
    </row>
    <row r="88" spans="1:15" x14ac:dyDescent="0.3">
      <c r="A88" s="4" t="s">
        <v>310</v>
      </c>
      <c r="B88" s="4" t="s">
        <v>47</v>
      </c>
      <c r="C88" s="4" t="s">
        <v>98</v>
      </c>
      <c r="D88" s="4" t="s">
        <v>18</v>
      </c>
      <c r="E88" s="4">
        <v>28</v>
      </c>
      <c r="F88" s="4" t="s">
        <v>53</v>
      </c>
      <c r="G88" s="4" t="s">
        <v>111</v>
      </c>
      <c r="H88" s="4" t="s">
        <v>311</v>
      </c>
      <c r="I88" s="4">
        <v>89625</v>
      </c>
      <c r="J88" s="4" t="s">
        <v>63</v>
      </c>
      <c r="K88" s="4" t="s">
        <v>312</v>
      </c>
      <c r="L88" s="4" t="s">
        <v>39</v>
      </c>
      <c r="M88" s="5" t="str">
        <f>IF([1]Employees!$I88&gt;=90000, "High", "Low")</f>
        <v>Low</v>
      </c>
      <c r="N88" s="6" t="str" cm="1">
        <f t="array" ref="N88">_xlfn.IFS([1]Employees!$I88&gt;=90000, "High", [1]Employees!$I88&gt;=50000, "Medium", [1]Employees!$I88&lt;50000, "Low")</f>
        <v>Medium</v>
      </c>
      <c r="O88" s="15" t="str">
        <f>IF([1]Employees!$I88&gt;=90000, "High", IF([1]Employees!$I88&gt;=50000, "Medium", "Low"))</f>
        <v>Medium</v>
      </c>
    </row>
    <row r="89" spans="1:15" x14ac:dyDescent="0.3">
      <c r="A89" s="4" t="s">
        <v>313</v>
      </c>
      <c r="B89" s="4" t="s">
        <v>52</v>
      </c>
      <c r="C89" s="4" t="s">
        <v>48</v>
      </c>
      <c r="D89" s="4" t="s">
        <v>18</v>
      </c>
      <c r="E89" s="4">
        <v>44</v>
      </c>
      <c r="F89" s="4" t="s">
        <v>42</v>
      </c>
      <c r="G89" s="4" t="s">
        <v>20</v>
      </c>
      <c r="H89" s="4" t="s">
        <v>314</v>
      </c>
      <c r="I89" s="4">
        <v>104211</v>
      </c>
      <c r="J89" s="4" t="s">
        <v>68</v>
      </c>
      <c r="K89" s="4" t="s">
        <v>315</v>
      </c>
      <c r="L89" s="4" t="s">
        <v>39</v>
      </c>
      <c r="M89" s="5" t="str">
        <f>IF([1]Employees!$I89&gt;=90000, "High", "Low")</f>
        <v>High</v>
      </c>
      <c r="N89" s="6" t="str" cm="1">
        <f t="array" ref="N89">_xlfn.IFS([1]Employees!$I89&gt;=90000, "High", [1]Employees!$I89&gt;=50000, "Medium", [1]Employees!$I89&lt;50000, "Low")</f>
        <v>High</v>
      </c>
      <c r="O89" s="15" t="str">
        <f>IF([1]Employees!$I89&gt;=90000, "High", IF([1]Employees!$I89&gt;=50000, "Medium", "Low"))</f>
        <v>High</v>
      </c>
    </row>
    <row r="90" spans="1:15" x14ac:dyDescent="0.3">
      <c r="A90" s="4" t="s">
        <v>316</v>
      </c>
      <c r="B90" s="4" t="s">
        <v>57</v>
      </c>
      <c r="C90" s="4" t="s">
        <v>93</v>
      </c>
      <c r="D90" s="4" t="s">
        <v>18</v>
      </c>
      <c r="E90" s="4">
        <v>36</v>
      </c>
      <c r="F90" s="4" t="s">
        <v>28</v>
      </c>
      <c r="G90" s="4" t="s">
        <v>35</v>
      </c>
      <c r="H90" s="4" t="s">
        <v>317</v>
      </c>
      <c r="I90" s="4">
        <v>82819</v>
      </c>
      <c r="J90" s="4" t="s">
        <v>37</v>
      </c>
      <c r="K90" s="4" t="s">
        <v>318</v>
      </c>
      <c r="L90" s="4" t="s">
        <v>39</v>
      </c>
      <c r="M90" s="5" t="str">
        <f>IF([1]Employees!$I90&gt;=90000, "High", "Low")</f>
        <v>Low</v>
      </c>
      <c r="N90" s="6" t="str" cm="1">
        <f t="array" ref="N90">_xlfn.IFS([1]Employees!$I90&gt;=90000, "High", [1]Employees!$I90&gt;=50000, "Medium", [1]Employees!$I90&lt;50000, "Low")</f>
        <v>Medium</v>
      </c>
      <c r="O90" s="15" t="str">
        <f>IF([1]Employees!$I90&gt;=90000, "High", IF([1]Employees!$I90&gt;=50000, "Medium", "Low"))</f>
        <v>Medium</v>
      </c>
    </row>
    <row r="91" spans="1:15" x14ac:dyDescent="0.3">
      <c r="A91" s="4" t="s">
        <v>319</v>
      </c>
      <c r="B91" s="4" t="s">
        <v>33</v>
      </c>
      <c r="C91" s="4" t="s">
        <v>93</v>
      </c>
      <c r="D91" s="4" t="s">
        <v>18</v>
      </c>
      <c r="E91" s="4">
        <v>54</v>
      </c>
      <c r="F91" s="4" t="s">
        <v>28</v>
      </c>
      <c r="G91" s="4" t="s">
        <v>35</v>
      </c>
      <c r="H91" s="4" t="s">
        <v>320</v>
      </c>
      <c r="I91" s="4">
        <v>105392</v>
      </c>
      <c r="J91" s="4" t="s">
        <v>83</v>
      </c>
      <c r="K91" s="4" t="s">
        <v>321</v>
      </c>
      <c r="L91" s="4" t="s">
        <v>24</v>
      </c>
      <c r="M91" s="5" t="str">
        <f>IF([1]Employees!$I91&gt;=90000, "High", "Low")</f>
        <v>High</v>
      </c>
      <c r="N91" s="6" t="str" cm="1">
        <f t="array" ref="N91">_xlfn.IFS([1]Employees!$I91&gt;=90000, "High", [1]Employees!$I91&gt;=50000, "Medium", [1]Employees!$I91&lt;50000, "Low")</f>
        <v>High</v>
      </c>
      <c r="O91" s="15" t="str">
        <f>IF([1]Employees!$I91&gt;=90000, "High", IF([1]Employees!$I91&gt;=50000, "Medium", "Low"))</f>
        <v>High</v>
      </c>
    </row>
    <row r="92" spans="1:15" x14ac:dyDescent="0.3">
      <c r="A92" s="4" t="s">
        <v>322</v>
      </c>
      <c r="B92" s="4" t="s">
        <v>61</v>
      </c>
      <c r="C92" s="4" t="s">
        <v>26</v>
      </c>
      <c r="D92" s="4" t="s">
        <v>27</v>
      </c>
      <c r="E92" s="4">
        <v>49</v>
      </c>
      <c r="F92" s="4" t="s">
        <v>53</v>
      </c>
      <c r="G92" s="4" t="s">
        <v>20</v>
      </c>
      <c r="H92" s="4" t="s">
        <v>323</v>
      </c>
      <c r="I92" s="4">
        <v>52568</v>
      </c>
      <c r="J92" s="4" t="s">
        <v>37</v>
      </c>
      <c r="K92" s="4" t="s">
        <v>324</v>
      </c>
      <c r="L92" s="4" t="s">
        <v>24</v>
      </c>
      <c r="M92" s="5" t="str">
        <f>IF([1]Employees!$I92&gt;=90000, "High", "Low")</f>
        <v>Low</v>
      </c>
      <c r="N92" s="6" t="str" cm="1">
        <f t="array" ref="N92">_xlfn.IFS([1]Employees!$I92&gt;=90000, "High", [1]Employees!$I92&gt;=50000, "Medium", [1]Employees!$I92&lt;50000, "Low")</f>
        <v>Medium</v>
      </c>
      <c r="O92" s="15" t="str">
        <f>IF([1]Employees!$I92&gt;=90000, "High", IF([1]Employees!$I92&gt;=50000, "Medium", "Low"))</f>
        <v>Medium</v>
      </c>
    </row>
    <row r="93" spans="1:15" x14ac:dyDescent="0.3">
      <c r="A93" s="4" t="s">
        <v>325</v>
      </c>
      <c r="B93" s="4" t="s">
        <v>74</v>
      </c>
      <c r="C93" s="4" t="s">
        <v>93</v>
      </c>
      <c r="D93" s="4" t="s">
        <v>18</v>
      </c>
      <c r="E93" s="4">
        <v>35</v>
      </c>
      <c r="F93" s="4" t="s">
        <v>28</v>
      </c>
      <c r="G93" s="4" t="s">
        <v>20</v>
      </c>
      <c r="H93" s="4" t="s">
        <v>326</v>
      </c>
      <c r="I93" s="4">
        <v>119403</v>
      </c>
      <c r="J93" s="4" t="s">
        <v>63</v>
      </c>
      <c r="K93" s="4" t="s">
        <v>327</v>
      </c>
      <c r="L93" s="4" t="s">
        <v>39</v>
      </c>
      <c r="M93" s="5" t="str">
        <f>IF([1]Employees!$I93&gt;=90000, "High", "Low")</f>
        <v>High</v>
      </c>
      <c r="N93" s="6" t="str" cm="1">
        <f t="array" ref="N93">_xlfn.IFS([1]Employees!$I93&gt;=90000, "High", [1]Employees!$I93&gt;=50000, "Medium", [1]Employees!$I93&lt;50000, "Low")</f>
        <v>High</v>
      </c>
      <c r="O93" s="15" t="str">
        <f>IF([1]Employees!$I93&gt;=90000, "High", IF([1]Employees!$I93&gt;=50000, "Medium", "Low"))</f>
        <v>High</v>
      </c>
    </row>
    <row r="94" spans="1:15" x14ac:dyDescent="0.3">
      <c r="A94" s="4" t="s">
        <v>328</v>
      </c>
      <c r="B94" s="4" t="s">
        <v>52</v>
      </c>
      <c r="C94" s="4" t="s">
        <v>81</v>
      </c>
      <c r="D94" s="4" t="s">
        <v>18</v>
      </c>
      <c r="E94" s="4">
        <v>44</v>
      </c>
      <c r="F94" s="4" t="s">
        <v>53</v>
      </c>
      <c r="G94" s="4" t="s">
        <v>35</v>
      </c>
      <c r="H94" s="4" t="s">
        <v>329</v>
      </c>
      <c r="I94" s="4">
        <v>54883</v>
      </c>
      <c r="J94" s="4" t="s">
        <v>37</v>
      </c>
      <c r="K94" s="4" t="s">
        <v>330</v>
      </c>
      <c r="L94" s="4" t="s">
        <v>39</v>
      </c>
      <c r="M94" s="5" t="str">
        <f>IF([1]Employees!$I94&gt;=90000, "High", "Low")</f>
        <v>Low</v>
      </c>
      <c r="N94" s="6" t="str" cm="1">
        <f t="array" ref="N94">_xlfn.IFS([1]Employees!$I94&gt;=90000, "High", [1]Employees!$I94&gt;=50000, "Medium", [1]Employees!$I94&lt;50000, "Low")</f>
        <v>Medium</v>
      </c>
      <c r="O94" s="15" t="str">
        <f>IF([1]Employees!$I94&gt;=90000, "High", IF([1]Employees!$I94&gt;=50000, "Medium", "Low"))</f>
        <v>Medium</v>
      </c>
    </row>
    <row r="95" spans="1:15" x14ac:dyDescent="0.3">
      <c r="A95" s="4" t="s">
        <v>331</v>
      </c>
      <c r="B95" s="4" t="s">
        <v>52</v>
      </c>
      <c r="C95" s="4" t="s">
        <v>81</v>
      </c>
      <c r="D95" s="4" t="s">
        <v>18</v>
      </c>
      <c r="E95" s="4">
        <v>44</v>
      </c>
      <c r="F95" s="4" t="s">
        <v>19</v>
      </c>
      <c r="G95" s="4" t="s">
        <v>35</v>
      </c>
      <c r="H95" s="4" t="s">
        <v>332</v>
      </c>
      <c r="I95" s="4">
        <v>83855</v>
      </c>
      <c r="J95" s="4" t="s">
        <v>37</v>
      </c>
      <c r="K95" s="4" t="s">
        <v>333</v>
      </c>
      <c r="L95" s="4" t="s">
        <v>39</v>
      </c>
      <c r="M95" s="5" t="str">
        <f>IF([1]Employees!$I95&gt;=90000, "High", "Low")</f>
        <v>Low</v>
      </c>
      <c r="N95" s="6" t="str" cm="1">
        <f t="array" ref="N95">_xlfn.IFS([1]Employees!$I95&gt;=90000, "High", [1]Employees!$I95&gt;=50000, "Medium", [1]Employees!$I95&lt;50000, "Low")</f>
        <v>Medium</v>
      </c>
      <c r="O95" s="15" t="str">
        <f>IF([1]Employees!$I95&gt;=90000, "High", IF([1]Employees!$I95&gt;=50000, "Medium", "Low"))</f>
        <v>Medium</v>
      </c>
    </row>
    <row r="96" spans="1:15" x14ac:dyDescent="0.3">
      <c r="A96" s="4" t="s">
        <v>334</v>
      </c>
      <c r="B96" s="4" t="s">
        <v>97</v>
      </c>
      <c r="C96" s="4" t="s">
        <v>66</v>
      </c>
      <c r="D96" s="4" t="s">
        <v>27</v>
      </c>
      <c r="E96" s="4">
        <v>53</v>
      </c>
      <c r="F96" s="4" t="s">
        <v>34</v>
      </c>
      <c r="G96" s="4" t="s">
        <v>43</v>
      </c>
      <c r="H96" s="4" t="s">
        <v>335</v>
      </c>
      <c r="I96" s="4">
        <v>43725</v>
      </c>
      <c r="J96" s="4" t="s">
        <v>68</v>
      </c>
      <c r="K96" s="4" t="s">
        <v>336</v>
      </c>
      <c r="L96" s="4" t="s">
        <v>24</v>
      </c>
      <c r="M96" s="5" t="str">
        <f>IF([1]Employees!$I96&gt;=90000, "High", "Low")</f>
        <v>Low</v>
      </c>
      <c r="N96" s="6" t="str" cm="1">
        <f t="array" ref="N96">_xlfn.IFS([1]Employees!$I96&gt;=90000, "High", [1]Employees!$I96&gt;=50000, "Medium", [1]Employees!$I96&lt;50000, "Low")</f>
        <v>Low</v>
      </c>
      <c r="O96" s="15" t="str">
        <f>IF([1]Employees!$I96&gt;=90000, "High", IF([1]Employees!$I96&gt;=50000, "Medium", "Low"))</f>
        <v>Low</v>
      </c>
    </row>
    <row r="97" spans="1:15" x14ac:dyDescent="0.3">
      <c r="A97" s="4" t="s">
        <v>337</v>
      </c>
      <c r="B97" s="4" t="s">
        <v>57</v>
      </c>
      <c r="C97" s="4" t="s">
        <v>48</v>
      </c>
      <c r="D97" s="4" t="s">
        <v>18</v>
      </c>
      <c r="E97" s="4">
        <v>24</v>
      </c>
      <c r="F97" s="4" t="s">
        <v>34</v>
      </c>
      <c r="G97" s="4" t="s">
        <v>43</v>
      </c>
      <c r="H97" s="4" t="s">
        <v>338</v>
      </c>
      <c r="I97" s="4">
        <v>104506</v>
      </c>
      <c r="J97" s="4" t="s">
        <v>68</v>
      </c>
      <c r="K97" s="4" t="s">
        <v>339</v>
      </c>
      <c r="L97" s="4" t="s">
        <v>24</v>
      </c>
      <c r="M97" s="5" t="str">
        <f>IF([1]Employees!$I97&gt;=90000, "High", "Low")</f>
        <v>High</v>
      </c>
      <c r="N97" s="6" t="str" cm="1">
        <f t="array" ref="N97">_xlfn.IFS([1]Employees!$I97&gt;=90000, "High", [1]Employees!$I97&gt;=50000, "Medium", [1]Employees!$I97&lt;50000, "Low")</f>
        <v>High</v>
      </c>
      <c r="O97" s="15" t="str">
        <f>IF([1]Employees!$I97&gt;=90000, "High", IF([1]Employees!$I97&gt;=50000, "Medium", "Low"))</f>
        <v>High</v>
      </c>
    </row>
    <row r="98" spans="1:15" x14ac:dyDescent="0.3">
      <c r="A98" s="4" t="s">
        <v>340</v>
      </c>
      <c r="B98" s="4" t="s">
        <v>41</v>
      </c>
      <c r="C98" s="4" t="s">
        <v>93</v>
      </c>
      <c r="D98" s="4" t="s">
        <v>18</v>
      </c>
      <c r="E98" s="4">
        <v>45</v>
      </c>
      <c r="F98" s="4" t="s">
        <v>28</v>
      </c>
      <c r="G98" s="4" t="s">
        <v>43</v>
      </c>
      <c r="H98" s="4" t="s">
        <v>341</v>
      </c>
      <c r="I98" s="4">
        <v>36873</v>
      </c>
      <c r="J98" s="4" t="s">
        <v>68</v>
      </c>
      <c r="K98" s="4" t="s">
        <v>342</v>
      </c>
      <c r="L98" s="4" t="s">
        <v>39</v>
      </c>
      <c r="M98" s="5" t="str">
        <f>IF([1]Employees!$I98&gt;=90000, "High", "Low")</f>
        <v>Low</v>
      </c>
      <c r="N98" s="6" t="str" cm="1">
        <f t="array" ref="N98">_xlfn.IFS([1]Employees!$I98&gt;=90000, "High", [1]Employees!$I98&gt;=50000, "Medium", [1]Employees!$I98&lt;50000, "Low")</f>
        <v>Low</v>
      </c>
      <c r="O98" s="15" t="str">
        <f>IF([1]Employees!$I98&gt;=90000, "High", IF([1]Employees!$I98&gt;=50000, "Medium", "Low"))</f>
        <v>Low</v>
      </c>
    </row>
    <row r="99" spans="1:15" x14ac:dyDescent="0.3">
      <c r="A99" s="4" t="s">
        <v>343</v>
      </c>
      <c r="B99" s="4" t="s">
        <v>16</v>
      </c>
      <c r="C99" s="4" t="s">
        <v>93</v>
      </c>
      <c r="D99" s="4" t="s">
        <v>27</v>
      </c>
      <c r="E99" s="4">
        <v>25</v>
      </c>
      <c r="F99" s="4" t="s">
        <v>42</v>
      </c>
      <c r="G99" s="4" t="s">
        <v>43</v>
      </c>
      <c r="H99" s="4" t="s">
        <v>344</v>
      </c>
      <c r="I99" s="4">
        <v>50051</v>
      </c>
      <c r="J99" s="4" t="s">
        <v>22</v>
      </c>
      <c r="K99" s="4" t="s">
        <v>345</v>
      </c>
      <c r="L99" s="4" t="s">
        <v>24</v>
      </c>
      <c r="M99" s="5" t="str">
        <f>IF([1]Employees!$I99&gt;=90000, "High", "Low")</f>
        <v>Low</v>
      </c>
      <c r="N99" s="6" t="str" cm="1">
        <f t="array" ref="N99">_xlfn.IFS([1]Employees!$I99&gt;=90000, "High", [1]Employees!$I99&gt;=50000, "Medium", [1]Employees!$I99&lt;50000, "Low")</f>
        <v>Medium</v>
      </c>
      <c r="O99" s="15" t="str">
        <f>IF([1]Employees!$I99&gt;=90000, "High", IF([1]Employees!$I99&gt;=50000, "Medium", "Low"))</f>
        <v>Medium</v>
      </c>
    </row>
    <row r="100" spans="1:15" x14ac:dyDescent="0.3">
      <c r="A100" s="4" t="s">
        <v>346</v>
      </c>
      <c r="B100" s="4" t="s">
        <v>41</v>
      </c>
      <c r="C100" s="4" t="s">
        <v>81</v>
      </c>
      <c r="D100" s="4" t="s">
        <v>27</v>
      </c>
      <c r="E100" s="4">
        <v>42</v>
      </c>
      <c r="F100" s="4" t="s">
        <v>34</v>
      </c>
      <c r="G100" s="4" t="s">
        <v>43</v>
      </c>
      <c r="H100" s="4" t="s">
        <v>347</v>
      </c>
      <c r="I100" s="4">
        <v>42571</v>
      </c>
      <c r="J100" s="4" t="s">
        <v>37</v>
      </c>
      <c r="K100" s="4" t="s">
        <v>348</v>
      </c>
      <c r="L100" s="4" t="s">
        <v>39</v>
      </c>
      <c r="M100" s="5" t="str">
        <f>IF([1]Employees!$I100&gt;=90000, "High", "Low")</f>
        <v>Low</v>
      </c>
      <c r="N100" s="6" t="str" cm="1">
        <f t="array" ref="N100">_xlfn.IFS([1]Employees!$I100&gt;=90000, "High", [1]Employees!$I100&gt;=50000, "Medium", [1]Employees!$I100&lt;50000, "Low")</f>
        <v>Low</v>
      </c>
      <c r="O100" s="15" t="str">
        <f>IF([1]Employees!$I100&gt;=90000, "High", IF([1]Employees!$I100&gt;=50000, "Medium", "Low"))</f>
        <v>Low</v>
      </c>
    </row>
    <row r="101" spans="1:15" x14ac:dyDescent="0.3">
      <c r="A101" s="4" t="s">
        <v>349</v>
      </c>
      <c r="B101" s="4" t="s">
        <v>41</v>
      </c>
      <c r="C101" s="4" t="s">
        <v>26</v>
      </c>
      <c r="D101" s="4" t="s">
        <v>27</v>
      </c>
      <c r="E101" s="4">
        <v>60</v>
      </c>
      <c r="F101" s="4" t="s">
        <v>53</v>
      </c>
      <c r="G101" s="4" t="s">
        <v>20</v>
      </c>
      <c r="H101" s="4" t="s">
        <v>350</v>
      </c>
      <c r="I101" s="4">
        <v>60616</v>
      </c>
      <c r="J101" s="4" t="s">
        <v>83</v>
      </c>
      <c r="K101" s="4" t="s">
        <v>351</v>
      </c>
      <c r="L101" s="4" t="s">
        <v>39</v>
      </c>
      <c r="M101" s="5" t="str">
        <f>IF([1]Employees!$I101&gt;=90000, "High", "Low")</f>
        <v>Low</v>
      </c>
      <c r="N101" s="6" t="str" cm="1">
        <f t="array" ref="N101">_xlfn.IFS([1]Employees!$I101&gt;=90000, "High", [1]Employees!$I101&gt;=50000, "Medium", [1]Employees!$I101&lt;50000, "Low")</f>
        <v>Medium</v>
      </c>
      <c r="O101" s="15" t="str">
        <f>IF([1]Employees!$I101&gt;=90000, "High", IF([1]Employees!$I101&gt;=50000, "Medium", "Low"))</f>
        <v>Medium</v>
      </c>
    </row>
    <row r="102" spans="1:15" x14ac:dyDescent="0.3">
      <c r="A102" s="4" t="s">
        <v>352</v>
      </c>
      <c r="B102" s="4" t="s">
        <v>47</v>
      </c>
      <c r="C102" s="4" t="s">
        <v>98</v>
      </c>
      <c r="D102" s="4" t="s">
        <v>27</v>
      </c>
      <c r="E102" s="4">
        <v>57</v>
      </c>
      <c r="F102" s="4" t="s">
        <v>28</v>
      </c>
      <c r="G102" s="4" t="s">
        <v>35</v>
      </c>
      <c r="H102" s="4" t="s">
        <v>353</v>
      </c>
      <c r="I102" s="4">
        <v>75929</v>
      </c>
      <c r="J102" s="4" t="s">
        <v>22</v>
      </c>
      <c r="K102" s="4" t="s">
        <v>354</v>
      </c>
      <c r="L102" s="4" t="s">
        <v>39</v>
      </c>
      <c r="M102" s="5" t="str">
        <f>IF([1]Employees!$I102&gt;=90000, "High", "Low")</f>
        <v>Low</v>
      </c>
      <c r="N102" s="6" t="str" cm="1">
        <f t="array" ref="N102">_xlfn.IFS([1]Employees!$I102&gt;=90000, "High", [1]Employees!$I102&gt;=50000, "Medium", [1]Employees!$I102&lt;50000, "Low")</f>
        <v>Medium</v>
      </c>
      <c r="O102" s="15" t="str">
        <f>IF([1]Employees!$I102&gt;=90000, "High", IF([1]Employees!$I102&gt;=50000, "Medium", "Low"))</f>
        <v>Medium</v>
      </c>
    </row>
    <row r="103" spans="1:15" x14ac:dyDescent="0.3">
      <c r="A103" s="4" t="s">
        <v>355</v>
      </c>
      <c r="B103" s="4" t="s">
        <v>74</v>
      </c>
      <c r="C103" s="4" t="s">
        <v>86</v>
      </c>
      <c r="D103" s="4" t="s">
        <v>27</v>
      </c>
      <c r="E103" s="4">
        <v>43</v>
      </c>
      <c r="F103" s="4" t="s">
        <v>53</v>
      </c>
      <c r="G103" s="4" t="s">
        <v>111</v>
      </c>
      <c r="H103" s="4" t="s">
        <v>356</v>
      </c>
      <c r="I103" s="4">
        <v>106165</v>
      </c>
      <c r="J103" s="4" t="s">
        <v>83</v>
      </c>
      <c r="K103" s="4" t="s">
        <v>357</v>
      </c>
      <c r="L103" s="4" t="s">
        <v>39</v>
      </c>
      <c r="M103" s="5" t="str">
        <f>IF([1]Employees!$I103&gt;=90000, "High", "Low")</f>
        <v>High</v>
      </c>
      <c r="N103" s="6" t="str" cm="1">
        <f t="array" ref="N103">_xlfn.IFS([1]Employees!$I103&gt;=90000, "High", [1]Employees!$I103&gt;=50000, "Medium", [1]Employees!$I103&lt;50000, "Low")</f>
        <v>High</v>
      </c>
      <c r="O103" s="15" t="str">
        <f>IF([1]Employees!$I103&gt;=90000, "High", IF([1]Employees!$I103&gt;=50000, "Medium", "Low"))</f>
        <v>High</v>
      </c>
    </row>
    <row r="104" spans="1:15" x14ac:dyDescent="0.3">
      <c r="A104" s="4" t="s">
        <v>358</v>
      </c>
      <c r="B104" s="4" t="s">
        <v>52</v>
      </c>
      <c r="C104" s="4" t="s">
        <v>26</v>
      </c>
      <c r="D104" s="4" t="s">
        <v>27</v>
      </c>
      <c r="E104" s="4">
        <v>23</v>
      </c>
      <c r="F104" s="4" t="s">
        <v>53</v>
      </c>
      <c r="G104" s="4" t="s">
        <v>29</v>
      </c>
      <c r="H104" s="4" t="s">
        <v>359</v>
      </c>
      <c r="I104" s="4">
        <v>44946</v>
      </c>
      <c r="J104" s="4" t="s">
        <v>63</v>
      </c>
      <c r="K104" s="4" t="s">
        <v>360</v>
      </c>
      <c r="L104" s="4" t="s">
        <v>39</v>
      </c>
      <c r="M104" s="5" t="str">
        <f>IF([1]Employees!$I104&gt;=90000, "High", "Low")</f>
        <v>Low</v>
      </c>
      <c r="N104" s="6" t="str" cm="1">
        <f t="array" ref="N104">_xlfn.IFS([1]Employees!$I104&gt;=90000, "High", [1]Employees!$I104&gt;=50000, "Medium", [1]Employees!$I104&lt;50000, "Low")</f>
        <v>Low</v>
      </c>
      <c r="O104" s="15" t="str">
        <f>IF([1]Employees!$I104&gt;=90000, "High", IF([1]Employees!$I104&gt;=50000, "Medium", "Low"))</f>
        <v>Low</v>
      </c>
    </row>
    <row r="105" spans="1:15" x14ac:dyDescent="0.3">
      <c r="A105" s="4" t="s">
        <v>361</v>
      </c>
      <c r="B105" s="4" t="s">
        <v>33</v>
      </c>
      <c r="C105" s="4" t="s">
        <v>93</v>
      </c>
      <c r="D105" s="4" t="s">
        <v>18</v>
      </c>
      <c r="E105" s="4">
        <v>32</v>
      </c>
      <c r="F105" s="4" t="s">
        <v>19</v>
      </c>
      <c r="G105" s="4" t="s">
        <v>29</v>
      </c>
      <c r="H105" s="4" t="s">
        <v>362</v>
      </c>
      <c r="I105" s="4">
        <v>64572</v>
      </c>
      <c r="J105" s="4" t="s">
        <v>83</v>
      </c>
      <c r="K105" s="4" t="s">
        <v>363</v>
      </c>
      <c r="L105" s="4" t="s">
        <v>24</v>
      </c>
      <c r="M105" s="5" t="str">
        <f>IF([1]Employees!$I105&gt;=90000, "High", "Low")</f>
        <v>Low</v>
      </c>
      <c r="N105" s="6" t="str" cm="1">
        <f t="array" ref="N105">_xlfn.IFS([1]Employees!$I105&gt;=90000, "High", [1]Employees!$I105&gt;=50000, "Medium", [1]Employees!$I105&lt;50000, "Low")</f>
        <v>Medium</v>
      </c>
      <c r="O105" s="15" t="str">
        <f>IF([1]Employees!$I105&gt;=90000, "High", IF([1]Employees!$I105&gt;=50000, "Medium", "Low"))</f>
        <v>Medium</v>
      </c>
    </row>
    <row r="106" spans="1:15" x14ac:dyDescent="0.3">
      <c r="A106" s="4" t="s">
        <v>364</v>
      </c>
      <c r="B106" s="4" t="s">
        <v>97</v>
      </c>
      <c r="C106" s="4" t="s">
        <v>17</v>
      </c>
      <c r="D106" s="4" t="s">
        <v>27</v>
      </c>
      <c r="E106" s="4">
        <v>56</v>
      </c>
      <c r="F106" s="4" t="s">
        <v>19</v>
      </c>
      <c r="G106" s="4" t="s">
        <v>43</v>
      </c>
      <c r="H106" s="4" t="s">
        <v>365</v>
      </c>
      <c r="I106" s="4">
        <v>74825</v>
      </c>
      <c r="J106" s="4" t="s">
        <v>83</v>
      </c>
      <c r="K106" s="4" t="s">
        <v>366</v>
      </c>
      <c r="L106" s="4" t="s">
        <v>24</v>
      </c>
      <c r="M106" s="5" t="str">
        <f>IF([1]Employees!$I106&gt;=90000, "High", "Low")</f>
        <v>Low</v>
      </c>
      <c r="N106" s="6" t="str" cm="1">
        <f t="array" ref="N106">_xlfn.IFS([1]Employees!$I106&gt;=90000, "High", [1]Employees!$I106&gt;=50000, "Medium", [1]Employees!$I106&lt;50000, "Low")</f>
        <v>Medium</v>
      </c>
      <c r="O106" s="15" t="str">
        <f>IF([1]Employees!$I106&gt;=90000, "High", IF([1]Employees!$I106&gt;=50000, "Medium", "Low"))</f>
        <v>Medium</v>
      </c>
    </row>
    <row r="107" spans="1:15" x14ac:dyDescent="0.3">
      <c r="A107" s="4" t="s">
        <v>367</v>
      </c>
      <c r="B107" s="4" t="s">
        <v>146</v>
      </c>
      <c r="C107" s="4" t="s">
        <v>48</v>
      </c>
      <c r="D107" s="4" t="s">
        <v>27</v>
      </c>
      <c r="E107" s="4">
        <v>27</v>
      </c>
      <c r="F107" s="4" t="s">
        <v>53</v>
      </c>
      <c r="G107" s="4" t="s">
        <v>20</v>
      </c>
      <c r="H107" s="4" t="s">
        <v>368</v>
      </c>
      <c r="I107" s="4">
        <v>52495</v>
      </c>
      <c r="J107" s="4" t="s">
        <v>68</v>
      </c>
      <c r="K107" s="4" t="s">
        <v>369</v>
      </c>
      <c r="L107" s="4" t="s">
        <v>24</v>
      </c>
      <c r="M107" s="5" t="str">
        <f>IF([1]Employees!$I107&gt;=90000, "High", "Low")</f>
        <v>Low</v>
      </c>
      <c r="N107" s="6" t="str" cm="1">
        <f t="array" ref="N107">_xlfn.IFS([1]Employees!$I107&gt;=90000, "High", [1]Employees!$I107&gt;=50000, "Medium", [1]Employees!$I107&lt;50000, "Low")</f>
        <v>Medium</v>
      </c>
      <c r="O107" s="15" t="str">
        <f>IF([1]Employees!$I107&gt;=90000, "High", IF([1]Employees!$I107&gt;=50000, "Medium", "Low"))</f>
        <v>Medium</v>
      </c>
    </row>
    <row r="108" spans="1:15" x14ac:dyDescent="0.3">
      <c r="A108" s="4" t="s">
        <v>370</v>
      </c>
      <c r="B108" s="4" t="s">
        <v>146</v>
      </c>
      <c r="C108" s="4" t="s">
        <v>66</v>
      </c>
      <c r="D108" s="4" t="s">
        <v>27</v>
      </c>
      <c r="E108" s="4">
        <v>27</v>
      </c>
      <c r="F108" s="4" t="s">
        <v>34</v>
      </c>
      <c r="G108" s="4" t="s">
        <v>20</v>
      </c>
      <c r="H108" s="4" t="s">
        <v>371</v>
      </c>
      <c r="I108" s="4">
        <v>90958</v>
      </c>
      <c r="J108" s="4" t="s">
        <v>22</v>
      </c>
      <c r="K108" s="4" t="s">
        <v>372</v>
      </c>
      <c r="L108" s="4" t="s">
        <v>39</v>
      </c>
      <c r="M108" s="5" t="str">
        <f>IF([1]Employees!$I108&gt;=90000, "High", "Low")</f>
        <v>High</v>
      </c>
      <c r="N108" s="6" t="str" cm="1">
        <f t="array" ref="N108">_xlfn.IFS([1]Employees!$I108&gt;=90000, "High", [1]Employees!$I108&gt;=50000, "Medium", [1]Employees!$I108&lt;50000, "Low")</f>
        <v>High</v>
      </c>
      <c r="O108" s="15" t="str">
        <f>IF([1]Employees!$I108&gt;=90000, "High", IF([1]Employees!$I108&gt;=50000, "Medium", "Low"))</f>
        <v>High</v>
      </c>
    </row>
    <row r="109" spans="1:15" x14ac:dyDescent="0.3">
      <c r="A109" s="4" t="s">
        <v>373</v>
      </c>
      <c r="B109" s="4" t="s">
        <v>146</v>
      </c>
      <c r="C109" s="4" t="s">
        <v>86</v>
      </c>
      <c r="D109" s="4" t="s">
        <v>18</v>
      </c>
      <c r="E109" s="4">
        <v>58</v>
      </c>
      <c r="F109" s="4" t="s">
        <v>42</v>
      </c>
      <c r="G109" s="4" t="s">
        <v>43</v>
      </c>
      <c r="H109" s="4" t="s">
        <v>374</v>
      </c>
      <c r="I109" s="4">
        <v>51096</v>
      </c>
      <c r="J109" s="4" t="s">
        <v>22</v>
      </c>
      <c r="K109" s="4" t="s">
        <v>375</v>
      </c>
      <c r="L109" s="4" t="s">
        <v>39</v>
      </c>
      <c r="M109" s="5" t="str">
        <f>IF([1]Employees!$I109&gt;=90000, "High", "Low")</f>
        <v>Low</v>
      </c>
      <c r="N109" s="6" t="str" cm="1">
        <f t="array" ref="N109">_xlfn.IFS([1]Employees!$I109&gt;=90000, "High", [1]Employees!$I109&gt;=50000, "Medium", [1]Employees!$I109&lt;50000, "Low")</f>
        <v>Medium</v>
      </c>
      <c r="O109" s="15" t="str">
        <f>IF([1]Employees!$I109&gt;=90000, "High", IF([1]Employees!$I109&gt;=50000, "Medium", "Low"))</f>
        <v>Medium</v>
      </c>
    </row>
    <row r="110" spans="1:15" x14ac:dyDescent="0.3">
      <c r="A110" s="4" t="s">
        <v>376</v>
      </c>
      <c r="B110" s="4" t="s">
        <v>61</v>
      </c>
      <c r="C110" s="4" t="s">
        <v>98</v>
      </c>
      <c r="D110" s="4" t="s">
        <v>18</v>
      </c>
      <c r="E110" s="4">
        <v>58</v>
      </c>
      <c r="F110" s="4" t="s">
        <v>53</v>
      </c>
      <c r="G110" s="4" t="s">
        <v>111</v>
      </c>
      <c r="H110" s="4" t="s">
        <v>377</v>
      </c>
      <c r="I110" s="4">
        <v>90458</v>
      </c>
      <c r="J110" s="4" t="s">
        <v>22</v>
      </c>
      <c r="K110" s="4" t="s">
        <v>378</v>
      </c>
      <c r="L110" s="4" t="s">
        <v>24</v>
      </c>
      <c r="M110" s="5" t="str">
        <f>IF([1]Employees!$I110&gt;=90000, "High", "Low")</f>
        <v>High</v>
      </c>
      <c r="N110" s="6" t="str" cm="1">
        <f t="array" ref="N110">_xlfn.IFS([1]Employees!$I110&gt;=90000, "High", [1]Employees!$I110&gt;=50000, "Medium", [1]Employees!$I110&lt;50000, "Low")</f>
        <v>High</v>
      </c>
      <c r="O110" s="15" t="str">
        <f>IF([1]Employees!$I110&gt;=90000, "High", IF([1]Employees!$I110&gt;=50000, "Medium", "Low"))</f>
        <v>High</v>
      </c>
    </row>
    <row r="111" spans="1:15" x14ac:dyDescent="0.3">
      <c r="A111" s="4" t="s">
        <v>379</v>
      </c>
      <c r="B111" s="4" t="s">
        <v>146</v>
      </c>
      <c r="C111" s="4" t="s">
        <v>133</v>
      </c>
      <c r="D111" s="4" t="s">
        <v>27</v>
      </c>
      <c r="E111" s="4">
        <v>39</v>
      </c>
      <c r="F111" s="4" t="s">
        <v>34</v>
      </c>
      <c r="G111" s="4" t="s">
        <v>20</v>
      </c>
      <c r="H111" s="4" t="s">
        <v>380</v>
      </c>
      <c r="I111" s="4">
        <v>67338</v>
      </c>
      <c r="J111" s="4" t="s">
        <v>37</v>
      </c>
      <c r="K111" s="4" t="s">
        <v>381</v>
      </c>
      <c r="L111" s="4" t="s">
        <v>39</v>
      </c>
      <c r="M111" s="5" t="str">
        <f>IF([1]Employees!$I111&gt;=90000, "High", "Low")</f>
        <v>Low</v>
      </c>
      <c r="N111" s="6" t="str" cm="1">
        <f t="array" ref="N111">_xlfn.IFS([1]Employees!$I111&gt;=90000, "High", [1]Employees!$I111&gt;=50000, "Medium", [1]Employees!$I111&lt;50000, "Low")</f>
        <v>Medium</v>
      </c>
      <c r="O111" s="15" t="str">
        <f>IF([1]Employees!$I111&gt;=90000, "High", IF([1]Employees!$I111&gt;=50000, "Medium", "Low"))</f>
        <v>Medium</v>
      </c>
    </row>
    <row r="112" spans="1:15" x14ac:dyDescent="0.3">
      <c r="A112" s="4" t="s">
        <v>382</v>
      </c>
      <c r="B112" s="4" t="s">
        <v>16</v>
      </c>
      <c r="C112" s="4" t="s">
        <v>17</v>
      </c>
      <c r="D112" s="4" t="s">
        <v>18</v>
      </c>
      <c r="E112" s="4">
        <v>40</v>
      </c>
      <c r="F112" s="4" t="s">
        <v>28</v>
      </c>
      <c r="G112" s="4" t="s">
        <v>43</v>
      </c>
      <c r="H112" s="4" t="s">
        <v>383</v>
      </c>
      <c r="I112" s="4">
        <v>106100</v>
      </c>
      <c r="J112" s="4" t="s">
        <v>37</v>
      </c>
      <c r="K112" s="4" t="s">
        <v>384</v>
      </c>
      <c r="L112" s="4" t="s">
        <v>39</v>
      </c>
      <c r="M112" s="5" t="str">
        <f>IF([1]Employees!$I112&gt;=90000, "High", "Low")</f>
        <v>High</v>
      </c>
      <c r="N112" s="6" t="str" cm="1">
        <f t="array" ref="N112">_xlfn.IFS([1]Employees!$I112&gt;=90000, "High", [1]Employees!$I112&gt;=50000, "Medium", [1]Employees!$I112&lt;50000, "Low")</f>
        <v>High</v>
      </c>
      <c r="O112" s="15" t="str">
        <f>IF([1]Employees!$I112&gt;=90000, "High", IF([1]Employees!$I112&gt;=50000, "Medium", "Low"))</f>
        <v>High</v>
      </c>
    </row>
    <row r="113" spans="1:15" x14ac:dyDescent="0.3">
      <c r="A113" s="4" t="s">
        <v>385</v>
      </c>
      <c r="B113" s="4" t="s">
        <v>16</v>
      </c>
      <c r="C113" s="4" t="s">
        <v>81</v>
      </c>
      <c r="D113" s="4" t="s">
        <v>27</v>
      </c>
      <c r="E113" s="4">
        <v>45</v>
      </c>
      <c r="F113" s="4" t="s">
        <v>19</v>
      </c>
      <c r="G113" s="4" t="s">
        <v>20</v>
      </c>
      <c r="H113" s="4" t="s">
        <v>386</v>
      </c>
      <c r="I113" s="4">
        <v>62840</v>
      </c>
      <c r="J113" s="4" t="s">
        <v>63</v>
      </c>
      <c r="K113" s="4" t="s">
        <v>387</v>
      </c>
      <c r="L113" s="4" t="s">
        <v>39</v>
      </c>
      <c r="M113" s="5" t="str">
        <f>IF([1]Employees!$I113&gt;=90000, "High", "Low")</f>
        <v>Low</v>
      </c>
      <c r="N113" s="6" t="str" cm="1">
        <f t="array" ref="N113">_xlfn.IFS([1]Employees!$I113&gt;=90000, "High", [1]Employees!$I113&gt;=50000, "Medium", [1]Employees!$I113&lt;50000, "Low")</f>
        <v>Medium</v>
      </c>
      <c r="O113" s="15" t="str">
        <f>IF([1]Employees!$I113&gt;=90000, "High", IF([1]Employees!$I113&gt;=50000, "Medium", "Low"))</f>
        <v>Medium</v>
      </c>
    </row>
    <row r="114" spans="1:15" x14ac:dyDescent="0.3">
      <c r="A114" s="4" t="s">
        <v>388</v>
      </c>
      <c r="B114" s="4" t="s">
        <v>74</v>
      </c>
      <c r="C114" s="4" t="s">
        <v>133</v>
      </c>
      <c r="D114" s="4" t="s">
        <v>27</v>
      </c>
      <c r="E114" s="4">
        <v>48</v>
      </c>
      <c r="F114" s="4" t="s">
        <v>19</v>
      </c>
      <c r="G114" s="4" t="s">
        <v>35</v>
      </c>
      <c r="H114" s="4" t="s">
        <v>389</v>
      </c>
      <c r="I114" s="4">
        <v>69569</v>
      </c>
      <c r="J114" s="4" t="s">
        <v>37</v>
      </c>
      <c r="K114" s="4" t="s">
        <v>390</v>
      </c>
      <c r="L114" s="4" t="s">
        <v>39</v>
      </c>
      <c r="M114" s="5" t="str">
        <f>IF([1]Employees!$I114&gt;=90000, "High", "Low")</f>
        <v>Low</v>
      </c>
      <c r="N114" s="6" t="str" cm="1">
        <f t="array" ref="N114">_xlfn.IFS([1]Employees!$I114&gt;=90000, "High", [1]Employees!$I114&gt;=50000, "Medium", [1]Employees!$I114&lt;50000, "Low")</f>
        <v>Medium</v>
      </c>
      <c r="O114" s="15" t="str">
        <f>IF([1]Employees!$I114&gt;=90000, "High", IF([1]Employees!$I114&gt;=50000, "Medium", "Low"))</f>
        <v>Medium</v>
      </c>
    </row>
    <row r="115" spans="1:15" x14ac:dyDescent="0.3">
      <c r="A115" s="4" t="s">
        <v>391</v>
      </c>
      <c r="B115" s="4" t="s">
        <v>41</v>
      </c>
      <c r="C115" s="4" t="s">
        <v>98</v>
      </c>
      <c r="D115" s="4" t="s">
        <v>18</v>
      </c>
      <c r="E115" s="4">
        <v>23</v>
      </c>
      <c r="F115" s="4" t="s">
        <v>34</v>
      </c>
      <c r="G115" s="4" t="s">
        <v>20</v>
      </c>
      <c r="H115" s="4" t="s">
        <v>392</v>
      </c>
      <c r="I115" s="4">
        <v>109099</v>
      </c>
      <c r="J115" s="4" t="s">
        <v>83</v>
      </c>
      <c r="K115" s="4" t="s">
        <v>393</v>
      </c>
      <c r="L115" s="4" t="s">
        <v>24</v>
      </c>
      <c r="M115" s="5" t="str">
        <f>IF([1]Employees!$I115&gt;=90000, "High", "Low")</f>
        <v>High</v>
      </c>
      <c r="N115" s="6" t="str" cm="1">
        <f t="array" ref="N115">_xlfn.IFS([1]Employees!$I115&gt;=90000, "High", [1]Employees!$I115&gt;=50000, "Medium", [1]Employees!$I115&lt;50000, "Low")</f>
        <v>High</v>
      </c>
      <c r="O115" s="15" t="str">
        <f>IF([1]Employees!$I115&gt;=90000, "High", IF([1]Employees!$I115&gt;=50000, "Medium", "Low"))</f>
        <v>High</v>
      </c>
    </row>
    <row r="116" spans="1:15" x14ac:dyDescent="0.3">
      <c r="A116" s="4" t="s">
        <v>394</v>
      </c>
      <c r="B116" s="4" t="s">
        <v>57</v>
      </c>
      <c r="C116" s="4" t="s">
        <v>26</v>
      </c>
      <c r="D116" s="4" t="s">
        <v>18</v>
      </c>
      <c r="E116" s="4">
        <v>30</v>
      </c>
      <c r="F116" s="4" t="s">
        <v>28</v>
      </c>
      <c r="G116" s="4" t="s">
        <v>43</v>
      </c>
      <c r="H116" s="4" t="s">
        <v>395</v>
      </c>
      <c r="I116" s="4">
        <v>74368</v>
      </c>
      <c r="J116" s="4" t="s">
        <v>63</v>
      </c>
      <c r="K116" s="4" t="s">
        <v>396</v>
      </c>
      <c r="L116" s="4" t="s">
        <v>39</v>
      </c>
      <c r="M116" s="5" t="str">
        <f>IF([1]Employees!$I116&gt;=90000, "High", "Low")</f>
        <v>Low</v>
      </c>
      <c r="N116" s="6" t="str" cm="1">
        <f t="array" ref="N116">_xlfn.IFS([1]Employees!$I116&gt;=90000, "High", [1]Employees!$I116&gt;=50000, "Medium", [1]Employees!$I116&lt;50000, "Low")</f>
        <v>Medium</v>
      </c>
      <c r="O116" s="15" t="str">
        <f>IF([1]Employees!$I116&gt;=90000, "High", IF([1]Employees!$I116&gt;=50000, "Medium", "Low"))</f>
        <v>Medium</v>
      </c>
    </row>
    <row r="117" spans="1:15" x14ac:dyDescent="0.3">
      <c r="A117" s="4" t="s">
        <v>397</v>
      </c>
      <c r="B117" s="4" t="s">
        <v>33</v>
      </c>
      <c r="C117" s="4" t="s">
        <v>133</v>
      </c>
      <c r="D117" s="4" t="s">
        <v>27</v>
      </c>
      <c r="E117" s="4">
        <v>58</v>
      </c>
      <c r="F117" s="4" t="s">
        <v>42</v>
      </c>
      <c r="G117" s="4" t="s">
        <v>35</v>
      </c>
      <c r="H117" s="4" t="s">
        <v>398</v>
      </c>
      <c r="I117" s="4">
        <v>111621</v>
      </c>
      <c r="J117" s="4" t="s">
        <v>63</v>
      </c>
      <c r="K117" s="4" t="s">
        <v>399</v>
      </c>
      <c r="L117" s="4" t="s">
        <v>24</v>
      </c>
      <c r="M117" s="5" t="str">
        <f>IF([1]Employees!$I117&gt;=90000, "High", "Low")</f>
        <v>High</v>
      </c>
      <c r="N117" s="6" t="str" cm="1">
        <f t="array" ref="N117">_xlfn.IFS([1]Employees!$I117&gt;=90000, "High", [1]Employees!$I117&gt;=50000, "Medium", [1]Employees!$I117&lt;50000, "Low")</f>
        <v>High</v>
      </c>
      <c r="O117" s="15" t="str">
        <f>IF([1]Employees!$I117&gt;=90000, "High", IF([1]Employees!$I117&gt;=50000, "Medium", "Low"))</f>
        <v>High</v>
      </c>
    </row>
    <row r="118" spans="1:15" x14ac:dyDescent="0.3">
      <c r="A118" s="4" t="s">
        <v>400</v>
      </c>
      <c r="B118" s="4" t="s">
        <v>146</v>
      </c>
      <c r="C118" s="4" t="s">
        <v>86</v>
      </c>
      <c r="D118" s="4" t="s">
        <v>18</v>
      </c>
      <c r="E118" s="4">
        <v>32</v>
      </c>
      <c r="F118" s="4" t="s">
        <v>53</v>
      </c>
      <c r="G118" s="4" t="s">
        <v>35</v>
      </c>
      <c r="H118" s="4" t="s">
        <v>341</v>
      </c>
      <c r="I118" s="4">
        <v>82446</v>
      </c>
      <c r="J118" s="4" t="s">
        <v>68</v>
      </c>
      <c r="K118" s="4" t="s">
        <v>401</v>
      </c>
      <c r="L118" s="4" t="s">
        <v>24</v>
      </c>
      <c r="M118" s="5" t="str">
        <f>IF([1]Employees!$I118&gt;=90000, "High", "Low")</f>
        <v>Low</v>
      </c>
      <c r="N118" s="6" t="str" cm="1">
        <f t="array" ref="N118">_xlfn.IFS([1]Employees!$I118&gt;=90000, "High", [1]Employees!$I118&gt;=50000, "Medium", [1]Employees!$I118&lt;50000, "Low")</f>
        <v>Medium</v>
      </c>
      <c r="O118" s="15" t="str">
        <f>IF([1]Employees!$I118&gt;=90000, "High", IF([1]Employees!$I118&gt;=50000, "Medium", "Low"))</f>
        <v>Medium</v>
      </c>
    </row>
    <row r="119" spans="1:15" x14ac:dyDescent="0.3">
      <c r="A119" s="4" t="s">
        <v>402</v>
      </c>
      <c r="B119" s="4" t="s">
        <v>146</v>
      </c>
      <c r="C119" s="4" t="s">
        <v>81</v>
      </c>
      <c r="D119" s="4" t="s">
        <v>27</v>
      </c>
      <c r="E119" s="4">
        <v>24</v>
      </c>
      <c r="F119" s="4" t="s">
        <v>34</v>
      </c>
      <c r="G119" s="4" t="s">
        <v>20</v>
      </c>
      <c r="H119" s="4" t="s">
        <v>403</v>
      </c>
      <c r="I119" s="4">
        <v>99200</v>
      </c>
      <c r="J119" s="4" t="s">
        <v>22</v>
      </c>
      <c r="K119" s="4" t="s">
        <v>404</v>
      </c>
      <c r="L119" s="4" t="s">
        <v>39</v>
      </c>
      <c r="M119" s="5" t="str">
        <f>IF([1]Employees!$I119&gt;=90000, "High", "Low")</f>
        <v>High</v>
      </c>
      <c r="N119" s="6" t="str" cm="1">
        <f t="array" ref="N119">_xlfn.IFS([1]Employees!$I119&gt;=90000, "High", [1]Employees!$I119&gt;=50000, "Medium", [1]Employees!$I119&lt;50000, "Low")</f>
        <v>High</v>
      </c>
      <c r="O119" s="15" t="str">
        <f>IF([1]Employees!$I119&gt;=90000, "High", IF([1]Employees!$I119&gt;=50000, "Medium", "Low"))</f>
        <v>High</v>
      </c>
    </row>
    <row r="120" spans="1:15" x14ac:dyDescent="0.3">
      <c r="A120" s="4" t="s">
        <v>405</v>
      </c>
      <c r="B120" s="4" t="s">
        <v>47</v>
      </c>
      <c r="C120" s="4" t="s">
        <v>98</v>
      </c>
      <c r="D120" s="4" t="s">
        <v>27</v>
      </c>
      <c r="E120" s="4">
        <v>36</v>
      </c>
      <c r="F120" s="4" t="s">
        <v>53</v>
      </c>
      <c r="G120" s="4" t="s">
        <v>29</v>
      </c>
      <c r="H120" s="4" t="s">
        <v>406</v>
      </c>
      <c r="I120" s="4">
        <v>56294</v>
      </c>
      <c r="J120" s="4" t="s">
        <v>63</v>
      </c>
      <c r="K120" s="4" t="s">
        <v>407</v>
      </c>
      <c r="L120" s="4" t="s">
        <v>39</v>
      </c>
      <c r="M120" s="5" t="str">
        <f>IF([1]Employees!$I120&gt;=90000, "High", "Low")</f>
        <v>Low</v>
      </c>
      <c r="N120" s="6" t="str" cm="1">
        <f t="array" ref="N120">_xlfn.IFS([1]Employees!$I120&gt;=90000, "High", [1]Employees!$I120&gt;=50000, "Medium", [1]Employees!$I120&lt;50000, "Low")</f>
        <v>Medium</v>
      </c>
      <c r="O120" s="15" t="str">
        <f>IF([1]Employees!$I120&gt;=90000, "High", IF([1]Employees!$I120&gt;=50000, "Medium", "Low"))</f>
        <v>Medium</v>
      </c>
    </row>
    <row r="121" spans="1:15" x14ac:dyDescent="0.3">
      <c r="A121" s="4" t="s">
        <v>408</v>
      </c>
      <c r="B121" s="4" t="s">
        <v>47</v>
      </c>
      <c r="C121" s="4" t="s">
        <v>168</v>
      </c>
      <c r="D121" s="4" t="s">
        <v>18</v>
      </c>
      <c r="E121" s="4">
        <v>32</v>
      </c>
      <c r="F121" s="4" t="s">
        <v>53</v>
      </c>
      <c r="G121" s="4" t="s">
        <v>43</v>
      </c>
      <c r="H121" s="4" t="s">
        <v>409</v>
      </c>
      <c r="I121" s="4">
        <v>112759</v>
      </c>
      <c r="J121" s="4" t="s">
        <v>83</v>
      </c>
      <c r="K121" s="4" t="s">
        <v>410</v>
      </c>
      <c r="L121" s="4" t="s">
        <v>39</v>
      </c>
      <c r="M121" s="5" t="str">
        <f>IF([1]Employees!$I121&gt;=90000, "High", "Low")</f>
        <v>High</v>
      </c>
      <c r="N121" s="6" t="str" cm="1">
        <f t="array" ref="N121">_xlfn.IFS([1]Employees!$I121&gt;=90000, "High", [1]Employees!$I121&gt;=50000, "Medium", [1]Employees!$I121&lt;50000, "Low")</f>
        <v>High</v>
      </c>
      <c r="O121" s="15" t="str">
        <f>IF([1]Employees!$I121&gt;=90000, "High", IF([1]Employees!$I121&gt;=50000, "Medium", "Low"))</f>
        <v>High</v>
      </c>
    </row>
    <row r="122" spans="1:15" x14ac:dyDescent="0.3">
      <c r="A122" s="4" t="s">
        <v>411</v>
      </c>
      <c r="B122" s="4" t="s">
        <v>97</v>
      </c>
      <c r="C122" s="4" t="s">
        <v>48</v>
      </c>
      <c r="D122" s="4" t="s">
        <v>18</v>
      </c>
      <c r="E122" s="4">
        <v>47</v>
      </c>
      <c r="F122" s="4" t="s">
        <v>28</v>
      </c>
      <c r="G122" s="4" t="s">
        <v>43</v>
      </c>
      <c r="H122" s="4" t="s">
        <v>412</v>
      </c>
      <c r="I122" s="4">
        <v>70479</v>
      </c>
      <c r="J122" s="4" t="s">
        <v>37</v>
      </c>
      <c r="K122" s="4" t="s">
        <v>413</v>
      </c>
      <c r="L122" s="4" t="s">
        <v>24</v>
      </c>
      <c r="M122" s="5" t="str">
        <f>IF([1]Employees!$I122&gt;=90000, "High", "Low")</f>
        <v>Low</v>
      </c>
      <c r="N122" s="6" t="str" cm="1">
        <f t="array" ref="N122">_xlfn.IFS([1]Employees!$I122&gt;=90000, "High", [1]Employees!$I122&gt;=50000, "Medium", [1]Employees!$I122&lt;50000, "Low")</f>
        <v>Medium</v>
      </c>
      <c r="O122" s="15" t="str">
        <f>IF([1]Employees!$I122&gt;=90000, "High", IF([1]Employees!$I122&gt;=50000, "Medium", "Low"))</f>
        <v>Medium</v>
      </c>
    </row>
    <row r="123" spans="1:15" x14ac:dyDescent="0.3">
      <c r="A123" s="4" t="s">
        <v>414</v>
      </c>
      <c r="B123" s="4" t="s">
        <v>47</v>
      </c>
      <c r="C123" s="4" t="s">
        <v>66</v>
      </c>
      <c r="D123" s="4" t="s">
        <v>18</v>
      </c>
      <c r="E123" s="4">
        <v>42</v>
      </c>
      <c r="F123" s="4" t="s">
        <v>19</v>
      </c>
      <c r="G123" s="4" t="s">
        <v>29</v>
      </c>
      <c r="H123" s="4" t="s">
        <v>415</v>
      </c>
      <c r="I123" s="4">
        <v>52630</v>
      </c>
      <c r="J123" s="4" t="s">
        <v>63</v>
      </c>
      <c r="K123" s="4" t="s">
        <v>416</v>
      </c>
      <c r="L123" s="4" t="s">
        <v>24</v>
      </c>
      <c r="M123" s="5" t="str">
        <f>IF([1]Employees!$I123&gt;=90000, "High", "Low")</f>
        <v>Low</v>
      </c>
      <c r="N123" s="6" t="str" cm="1">
        <f t="array" ref="N123">_xlfn.IFS([1]Employees!$I123&gt;=90000, "High", [1]Employees!$I123&gt;=50000, "Medium", [1]Employees!$I123&lt;50000, "Low")</f>
        <v>Medium</v>
      </c>
      <c r="O123" s="15" t="str">
        <f>IF([1]Employees!$I123&gt;=90000, "High", IF([1]Employees!$I123&gt;=50000, "Medium", "Low"))</f>
        <v>Medium</v>
      </c>
    </row>
    <row r="124" spans="1:15" x14ac:dyDescent="0.3">
      <c r="A124" s="4" t="s">
        <v>417</v>
      </c>
      <c r="B124" s="4" t="s">
        <v>47</v>
      </c>
      <c r="C124" s="4" t="s">
        <v>133</v>
      </c>
      <c r="D124" s="4" t="s">
        <v>27</v>
      </c>
      <c r="E124" s="4">
        <v>27</v>
      </c>
      <c r="F124" s="4" t="s">
        <v>34</v>
      </c>
      <c r="G124" s="4" t="s">
        <v>35</v>
      </c>
      <c r="H124" s="4" t="s">
        <v>418</v>
      </c>
      <c r="I124" s="4">
        <v>78119</v>
      </c>
      <c r="J124" s="4" t="s">
        <v>63</v>
      </c>
      <c r="K124" s="4" t="s">
        <v>419</v>
      </c>
      <c r="L124" s="4" t="s">
        <v>24</v>
      </c>
      <c r="M124" s="5" t="str">
        <f>IF([1]Employees!$I124&gt;=90000, "High", "Low")</f>
        <v>Low</v>
      </c>
      <c r="N124" s="6" t="str" cm="1">
        <f t="array" ref="N124">_xlfn.IFS([1]Employees!$I124&gt;=90000, "High", [1]Employees!$I124&gt;=50000, "Medium", [1]Employees!$I124&lt;50000, "Low")</f>
        <v>Medium</v>
      </c>
      <c r="O124" s="15" t="str">
        <f>IF([1]Employees!$I124&gt;=90000, "High", IF([1]Employees!$I124&gt;=50000, "Medium", "Low"))</f>
        <v>Medium</v>
      </c>
    </row>
    <row r="125" spans="1:15" x14ac:dyDescent="0.3">
      <c r="A125" s="4" t="s">
        <v>420</v>
      </c>
      <c r="B125" s="4" t="s">
        <v>47</v>
      </c>
      <c r="C125" s="4" t="s">
        <v>81</v>
      </c>
      <c r="D125" s="4" t="s">
        <v>18</v>
      </c>
      <c r="E125" s="4">
        <v>41</v>
      </c>
      <c r="F125" s="4" t="s">
        <v>28</v>
      </c>
      <c r="G125" s="4" t="s">
        <v>35</v>
      </c>
      <c r="H125" s="4" t="s">
        <v>421</v>
      </c>
      <c r="I125" s="4">
        <v>77100</v>
      </c>
      <c r="J125" s="4" t="s">
        <v>22</v>
      </c>
      <c r="K125" s="4" t="s">
        <v>422</v>
      </c>
      <c r="L125" s="4" t="s">
        <v>24</v>
      </c>
      <c r="M125" s="5" t="str">
        <f>IF([1]Employees!$I125&gt;=90000, "High", "Low")</f>
        <v>Low</v>
      </c>
      <c r="N125" s="6" t="str" cm="1">
        <f t="array" ref="N125">_xlfn.IFS([1]Employees!$I125&gt;=90000, "High", [1]Employees!$I125&gt;=50000, "Medium", [1]Employees!$I125&lt;50000, "Low")</f>
        <v>Medium</v>
      </c>
      <c r="O125" s="15" t="str">
        <f>IF([1]Employees!$I125&gt;=90000, "High", IF([1]Employees!$I125&gt;=50000, "Medium", "Low"))</f>
        <v>Medium</v>
      </c>
    </row>
    <row r="126" spans="1:15" x14ac:dyDescent="0.3">
      <c r="A126" s="4" t="s">
        <v>423</v>
      </c>
      <c r="B126" s="4" t="s">
        <v>41</v>
      </c>
      <c r="C126" s="4" t="s">
        <v>66</v>
      </c>
      <c r="D126" s="4" t="s">
        <v>18</v>
      </c>
      <c r="E126" s="4">
        <v>58</v>
      </c>
      <c r="F126" s="4" t="s">
        <v>34</v>
      </c>
      <c r="G126" s="4" t="s">
        <v>43</v>
      </c>
      <c r="H126" s="4" t="s">
        <v>424</v>
      </c>
      <c r="I126" s="4">
        <v>48296</v>
      </c>
      <c r="J126" s="4" t="s">
        <v>68</v>
      </c>
      <c r="K126" s="4" t="s">
        <v>425</v>
      </c>
      <c r="L126" s="4" t="s">
        <v>39</v>
      </c>
      <c r="M126" s="5" t="str">
        <f>IF([1]Employees!$I126&gt;=90000, "High", "Low")</f>
        <v>Low</v>
      </c>
      <c r="N126" s="6" t="str" cm="1">
        <f t="array" ref="N126">_xlfn.IFS([1]Employees!$I126&gt;=90000, "High", [1]Employees!$I126&gt;=50000, "Medium", [1]Employees!$I126&lt;50000, "Low")</f>
        <v>Low</v>
      </c>
      <c r="O126" s="15" t="str">
        <f>IF([1]Employees!$I126&gt;=90000, "High", IF([1]Employees!$I126&gt;=50000, "Medium", "Low"))</f>
        <v>Low</v>
      </c>
    </row>
    <row r="127" spans="1:15" x14ac:dyDescent="0.3">
      <c r="A127" s="4" t="s">
        <v>426</v>
      </c>
      <c r="B127" s="4" t="s">
        <v>57</v>
      </c>
      <c r="C127" s="4" t="s">
        <v>168</v>
      </c>
      <c r="D127" s="4" t="s">
        <v>27</v>
      </c>
      <c r="E127" s="4">
        <v>46</v>
      </c>
      <c r="F127" s="4" t="s">
        <v>53</v>
      </c>
      <c r="G127" s="4" t="s">
        <v>29</v>
      </c>
      <c r="H127" s="4" t="s">
        <v>427</v>
      </c>
      <c r="I127" s="4">
        <v>69026</v>
      </c>
      <c r="J127" s="4" t="s">
        <v>37</v>
      </c>
      <c r="K127" s="4" t="s">
        <v>428</v>
      </c>
      <c r="L127" s="4" t="s">
        <v>24</v>
      </c>
      <c r="M127" s="5" t="str">
        <f>IF([1]Employees!$I127&gt;=90000, "High", "Low")</f>
        <v>Low</v>
      </c>
      <c r="N127" s="6" t="str" cm="1">
        <f t="array" ref="N127">_xlfn.IFS([1]Employees!$I127&gt;=90000, "High", [1]Employees!$I127&gt;=50000, "Medium", [1]Employees!$I127&lt;50000, "Low")</f>
        <v>Medium</v>
      </c>
      <c r="O127" s="15" t="str">
        <f>IF([1]Employees!$I127&gt;=90000, "High", IF([1]Employees!$I127&gt;=50000, "Medium", "Low"))</f>
        <v>Medium</v>
      </c>
    </row>
    <row r="128" spans="1:15" x14ac:dyDescent="0.3">
      <c r="A128" s="4" t="s">
        <v>429</v>
      </c>
      <c r="B128" s="4" t="s">
        <v>61</v>
      </c>
      <c r="C128" s="4" t="s">
        <v>26</v>
      </c>
      <c r="D128" s="4" t="s">
        <v>18</v>
      </c>
      <c r="E128" s="4">
        <v>29</v>
      </c>
      <c r="F128" s="4" t="s">
        <v>28</v>
      </c>
      <c r="G128" s="4" t="s">
        <v>29</v>
      </c>
      <c r="H128" s="4" t="s">
        <v>430</v>
      </c>
      <c r="I128" s="4">
        <v>97080</v>
      </c>
      <c r="J128" s="4" t="s">
        <v>83</v>
      </c>
      <c r="K128" s="4" t="s">
        <v>431</v>
      </c>
      <c r="L128" s="4" t="s">
        <v>24</v>
      </c>
      <c r="M128" s="5" t="str">
        <f>IF([1]Employees!$I128&gt;=90000, "High", "Low")</f>
        <v>High</v>
      </c>
      <c r="N128" s="6" t="str" cm="1">
        <f t="array" ref="N128">_xlfn.IFS([1]Employees!$I128&gt;=90000, "High", [1]Employees!$I128&gt;=50000, "Medium", [1]Employees!$I128&lt;50000, "Low")</f>
        <v>High</v>
      </c>
      <c r="O128" s="15" t="str">
        <f>IF([1]Employees!$I128&gt;=90000, "High", IF([1]Employees!$I128&gt;=50000, "Medium", "Low"))</f>
        <v>High</v>
      </c>
    </row>
    <row r="129" spans="1:15" x14ac:dyDescent="0.3">
      <c r="A129" s="4" t="s">
        <v>432</v>
      </c>
      <c r="B129" s="4" t="s">
        <v>74</v>
      </c>
      <c r="C129" s="4" t="s">
        <v>133</v>
      </c>
      <c r="D129" s="4" t="s">
        <v>27</v>
      </c>
      <c r="E129" s="4">
        <v>26</v>
      </c>
      <c r="F129" s="4" t="s">
        <v>28</v>
      </c>
      <c r="G129" s="4" t="s">
        <v>35</v>
      </c>
      <c r="H129" s="4" t="s">
        <v>433</v>
      </c>
      <c r="I129" s="4">
        <v>71436</v>
      </c>
      <c r="J129" s="4" t="s">
        <v>37</v>
      </c>
      <c r="K129" s="4" t="s">
        <v>434</v>
      </c>
      <c r="L129" s="4" t="s">
        <v>39</v>
      </c>
      <c r="M129" s="5" t="str">
        <f>IF([1]Employees!$I129&gt;=90000, "High", "Low")</f>
        <v>Low</v>
      </c>
      <c r="N129" s="6" t="str" cm="1">
        <f t="array" ref="N129">_xlfn.IFS([1]Employees!$I129&gt;=90000, "High", [1]Employees!$I129&gt;=50000, "Medium", [1]Employees!$I129&lt;50000, "Low")</f>
        <v>Medium</v>
      </c>
      <c r="O129" s="15" t="str">
        <f>IF([1]Employees!$I129&gt;=90000, "High", IF([1]Employees!$I129&gt;=50000, "Medium", "Low"))</f>
        <v>Medium</v>
      </c>
    </row>
    <row r="130" spans="1:15" x14ac:dyDescent="0.3">
      <c r="A130" s="4" t="s">
        <v>435</v>
      </c>
      <c r="B130" s="4" t="s">
        <v>97</v>
      </c>
      <c r="C130" s="4" t="s">
        <v>66</v>
      </c>
      <c r="D130" s="4" t="s">
        <v>27</v>
      </c>
      <c r="E130" s="4">
        <v>44</v>
      </c>
      <c r="F130" s="4" t="s">
        <v>19</v>
      </c>
      <c r="G130" s="4" t="s">
        <v>35</v>
      </c>
      <c r="H130" s="4" t="s">
        <v>436</v>
      </c>
      <c r="I130" s="4">
        <v>87790</v>
      </c>
      <c r="J130" s="4" t="s">
        <v>83</v>
      </c>
      <c r="K130" s="4" t="s">
        <v>437</v>
      </c>
      <c r="L130" s="4" t="s">
        <v>24</v>
      </c>
      <c r="M130" s="5" t="str">
        <f>IF([1]Employees!$I130&gt;=90000, "High", "Low")</f>
        <v>Low</v>
      </c>
      <c r="N130" s="6" t="str" cm="1">
        <f t="array" ref="N130">_xlfn.IFS([1]Employees!$I130&gt;=90000, "High", [1]Employees!$I130&gt;=50000, "Medium", [1]Employees!$I130&lt;50000, "Low")</f>
        <v>Medium</v>
      </c>
      <c r="O130" s="15" t="str">
        <f>IF([1]Employees!$I130&gt;=90000, "High", IF([1]Employees!$I130&gt;=50000, "Medium", "Low"))</f>
        <v>Medium</v>
      </c>
    </row>
    <row r="131" spans="1:15" x14ac:dyDescent="0.3">
      <c r="A131" s="4" t="s">
        <v>438</v>
      </c>
      <c r="B131" s="4" t="s">
        <v>57</v>
      </c>
      <c r="C131" s="4" t="s">
        <v>66</v>
      </c>
      <c r="D131" s="4" t="s">
        <v>27</v>
      </c>
      <c r="E131" s="4">
        <v>59</v>
      </c>
      <c r="F131" s="4" t="s">
        <v>19</v>
      </c>
      <c r="G131" s="4" t="s">
        <v>111</v>
      </c>
      <c r="H131" s="4" t="s">
        <v>439</v>
      </c>
      <c r="I131" s="4">
        <v>119530</v>
      </c>
      <c r="J131" s="4" t="s">
        <v>83</v>
      </c>
      <c r="K131" s="4" t="s">
        <v>440</v>
      </c>
      <c r="L131" s="4" t="s">
        <v>24</v>
      </c>
      <c r="M131" s="5" t="str">
        <f>IF([1]Employees!$I131&gt;=90000, "High", "Low")</f>
        <v>High</v>
      </c>
      <c r="N131" s="6" t="str" cm="1">
        <f t="array" ref="N131">_xlfn.IFS([1]Employees!$I131&gt;=90000, "High", [1]Employees!$I131&gt;=50000, "Medium", [1]Employees!$I131&lt;50000, "Low")</f>
        <v>High</v>
      </c>
      <c r="O131" s="15" t="str">
        <f>IF([1]Employees!$I131&gt;=90000, "High", IF([1]Employees!$I131&gt;=50000, "Medium", "Low"))</f>
        <v>High</v>
      </c>
    </row>
    <row r="132" spans="1:15" x14ac:dyDescent="0.3">
      <c r="A132" s="4" t="s">
        <v>441</v>
      </c>
      <c r="B132" s="4" t="s">
        <v>146</v>
      </c>
      <c r="C132" s="4" t="s">
        <v>17</v>
      </c>
      <c r="D132" s="4" t="s">
        <v>27</v>
      </c>
      <c r="E132" s="4">
        <v>37</v>
      </c>
      <c r="F132" s="4" t="s">
        <v>34</v>
      </c>
      <c r="G132" s="4" t="s">
        <v>111</v>
      </c>
      <c r="H132" s="4" t="s">
        <v>442</v>
      </c>
      <c r="I132" s="4">
        <v>100623</v>
      </c>
      <c r="J132" s="4" t="s">
        <v>37</v>
      </c>
      <c r="K132" s="4" t="s">
        <v>443</v>
      </c>
      <c r="L132" s="4" t="s">
        <v>24</v>
      </c>
      <c r="M132" s="5" t="str">
        <f>IF([1]Employees!$I132&gt;=90000, "High", "Low")</f>
        <v>High</v>
      </c>
      <c r="N132" s="6" t="str" cm="1">
        <f t="array" ref="N132">_xlfn.IFS([1]Employees!$I132&gt;=90000, "High", [1]Employees!$I132&gt;=50000, "Medium", [1]Employees!$I132&lt;50000, "Low")</f>
        <v>High</v>
      </c>
      <c r="O132" s="15" t="str">
        <f>IF([1]Employees!$I132&gt;=90000, "High", IF([1]Employees!$I132&gt;=50000, "Medium", "Low"))</f>
        <v>High</v>
      </c>
    </row>
    <row r="133" spans="1:15" x14ac:dyDescent="0.3">
      <c r="A133" s="4" t="s">
        <v>444</v>
      </c>
      <c r="B133" s="4" t="s">
        <v>47</v>
      </c>
      <c r="C133" s="4" t="s">
        <v>48</v>
      </c>
      <c r="D133" s="4" t="s">
        <v>27</v>
      </c>
      <c r="E133" s="4">
        <v>60</v>
      </c>
      <c r="F133" s="4" t="s">
        <v>34</v>
      </c>
      <c r="G133" s="4" t="s">
        <v>111</v>
      </c>
      <c r="H133" s="4" t="s">
        <v>445</v>
      </c>
      <c r="I133" s="4">
        <v>40317</v>
      </c>
      <c r="J133" s="4" t="s">
        <v>83</v>
      </c>
      <c r="K133" s="4" t="s">
        <v>446</v>
      </c>
      <c r="L133" s="4" t="s">
        <v>24</v>
      </c>
      <c r="M133" s="5" t="str">
        <f>IF([1]Employees!$I133&gt;=90000, "High", "Low")</f>
        <v>Low</v>
      </c>
      <c r="N133" s="6" t="str" cm="1">
        <f t="array" ref="N133">_xlfn.IFS([1]Employees!$I133&gt;=90000, "High", [1]Employees!$I133&gt;=50000, "Medium", [1]Employees!$I133&lt;50000, "Low")</f>
        <v>Low</v>
      </c>
      <c r="O133" s="15" t="str">
        <f>IF([1]Employees!$I133&gt;=90000, "High", IF([1]Employees!$I133&gt;=50000, "Medium", "Low"))</f>
        <v>Low</v>
      </c>
    </row>
    <row r="134" spans="1:15" x14ac:dyDescent="0.3">
      <c r="A134" s="4" t="s">
        <v>447</v>
      </c>
      <c r="B134" s="4" t="s">
        <v>74</v>
      </c>
      <c r="C134" s="4" t="s">
        <v>168</v>
      </c>
      <c r="D134" s="4" t="s">
        <v>27</v>
      </c>
      <c r="E134" s="4">
        <v>51</v>
      </c>
      <c r="F134" s="4" t="s">
        <v>28</v>
      </c>
      <c r="G134" s="4" t="s">
        <v>111</v>
      </c>
      <c r="H134" s="4" t="s">
        <v>448</v>
      </c>
      <c r="I134" s="4">
        <v>87915</v>
      </c>
      <c r="J134" s="4" t="s">
        <v>63</v>
      </c>
      <c r="K134" s="4" t="s">
        <v>449</v>
      </c>
      <c r="L134" s="4" t="s">
        <v>24</v>
      </c>
      <c r="M134" s="5" t="str">
        <f>IF([1]Employees!$I134&gt;=90000, "High", "Low")</f>
        <v>Low</v>
      </c>
      <c r="N134" s="6" t="str" cm="1">
        <f t="array" ref="N134">_xlfn.IFS([1]Employees!$I134&gt;=90000, "High", [1]Employees!$I134&gt;=50000, "Medium", [1]Employees!$I134&lt;50000, "Low")</f>
        <v>Medium</v>
      </c>
      <c r="O134" s="15" t="str">
        <f>IF([1]Employees!$I134&gt;=90000, "High", IF([1]Employees!$I134&gt;=50000, "Medium", "Low"))</f>
        <v>Medium</v>
      </c>
    </row>
    <row r="135" spans="1:15" x14ac:dyDescent="0.3">
      <c r="A135" s="4" t="s">
        <v>450</v>
      </c>
      <c r="B135" s="4" t="s">
        <v>146</v>
      </c>
      <c r="C135" s="4" t="s">
        <v>17</v>
      </c>
      <c r="D135" s="4" t="s">
        <v>18</v>
      </c>
      <c r="E135" s="4">
        <v>49</v>
      </c>
      <c r="F135" s="4" t="s">
        <v>34</v>
      </c>
      <c r="G135" s="4" t="s">
        <v>111</v>
      </c>
      <c r="H135" s="4" t="s">
        <v>451</v>
      </c>
      <c r="I135" s="4">
        <v>102279</v>
      </c>
      <c r="J135" s="4" t="s">
        <v>63</v>
      </c>
      <c r="K135" s="4" t="s">
        <v>452</v>
      </c>
      <c r="L135" s="4" t="s">
        <v>39</v>
      </c>
      <c r="M135" s="5" t="str">
        <f>IF([1]Employees!$I135&gt;=90000, "High", "Low")</f>
        <v>High</v>
      </c>
      <c r="N135" s="6" t="str" cm="1">
        <f t="array" ref="N135">_xlfn.IFS([1]Employees!$I135&gt;=90000, "High", [1]Employees!$I135&gt;=50000, "Medium", [1]Employees!$I135&lt;50000, "Low")</f>
        <v>High</v>
      </c>
      <c r="O135" s="15" t="str">
        <f>IF([1]Employees!$I135&gt;=90000, "High", IF([1]Employees!$I135&gt;=50000, "Medium", "Low"))</f>
        <v>High</v>
      </c>
    </row>
    <row r="136" spans="1:15" x14ac:dyDescent="0.3">
      <c r="A136" s="4" t="s">
        <v>453</v>
      </c>
      <c r="B136" s="4" t="s">
        <v>74</v>
      </c>
      <c r="C136" s="4" t="s">
        <v>98</v>
      </c>
      <c r="D136" s="4" t="s">
        <v>27</v>
      </c>
      <c r="E136" s="4">
        <v>36</v>
      </c>
      <c r="F136" s="4" t="s">
        <v>34</v>
      </c>
      <c r="G136" s="4" t="s">
        <v>43</v>
      </c>
      <c r="H136" s="4" t="s">
        <v>454</v>
      </c>
      <c r="I136" s="4">
        <v>72887</v>
      </c>
      <c r="J136" s="4" t="s">
        <v>37</v>
      </c>
      <c r="K136" s="4" t="s">
        <v>455</v>
      </c>
      <c r="L136" s="4" t="s">
        <v>39</v>
      </c>
      <c r="M136" s="5" t="str">
        <f>IF([1]Employees!$I136&gt;=90000, "High", "Low")</f>
        <v>Low</v>
      </c>
      <c r="N136" s="6" t="str" cm="1">
        <f t="array" ref="N136">_xlfn.IFS([1]Employees!$I136&gt;=90000, "High", [1]Employees!$I136&gt;=50000, "Medium", [1]Employees!$I136&lt;50000, "Low")</f>
        <v>Medium</v>
      </c>
      <c r="O136" s="15" t="str">
        <f>IF([1]Employees!$I136&gt;=90000, "High", IF([1]Employees!$I136&gt;=50000, "Medium", "Low"))</f>
        <v>Medium</v>
      </c>
    </row>
    <row r="137" spans="1:15" x14ac:dyDescent="0.3">
      <c r="A137" s="4" t="s">
        <v>456</v>
      </c>
      <c r="B137" s="4" t="s">
        <v>41</v>
      </c>
      <c r="C137" s="4" t="s">
        <v>17</v>
      </c>
      <c r="D137" s="4" t="s">
        <v>18</v>
      </c>
      <c r="E137" s="4">
        <v>43</v>
      </c>
      <c r="F137" s="4" t="s">
        <v>19</v>
      </c>
      <c r="G137" s="4" t="s">
        <v>29</v>
      </c>
      <c r="H137" s="4" t="s">
        <v>457</v>
      </c>
      <c r="I137" s="4">
        <v>92793</v>
      </c>
      <c r="J137" s="4" t="s">
        <v>63</v>
      </c>
      <c r="K137" s="4" t="s">
        <v>458</v>
      </c>
      <c r="L137" s="4" t="s">
        <v>24</v>
      </c>
      <c r="M137" s="5" t="str">
        <f>IF([1]Employees!$I137&gt;=90000, "High", "Low")</f>
        <v>High</v>
      </c>
      <c r="N137" s="6" t="str" cm="1">
        <f t="array" ref="N137">_xlfn.IFS([1]Employees!$I137&gt;=90000, "High", [1]Employees!$I137&gt;=50000, "Medium", [1]Employees!$I137&lt;50000, "Low")</f>
        <v>High</v>
      </c>
      <c r="O137" s="15" t="str">
        <f>IF([1]Employees!$I137&gt;=90000, "High", IF([1]Employees!$I137&gt;=50000, "Medium", "Low"))</f>
        <v>High</v>
      </c>
    </row>
    <row r="138" spans="1:15" x14ac:dyDescent="0.3">
      <c r="A138" s="4" t="s">
        <v>459</v>
      </c>
      <c r="B138" s="4" t="s">
        <v>97</v>
      </c>
      <c r="C138" s="4" t="s">
        <v>81</v>
      </c>
      <c r="D138" s="4" t="s">
        <v>27</v>
      </c>
      <c r="E138" s="4">
        <v>48</v>
      </c>
      <c r="F138" s="4" t="s">
        <v>42</v>
      </c>
      <c r="G138" s="4" t="s">
        <v>29</v>
      </c>
      <c r="H138" s="4" t="s">
        <v>460</v>
      </c>
      <c r="I138" s="4">
        <v>114316</v>
      </c>
      <c r="J138" s="4" t="s">
        <v>68</v>
      </c>
      <c r="K138" s="4" t="s">
        <v>461</v>
      </c>
      <c r="L138" s="4" t="s">
        <v>24</v>
      </c>
      <c r="M138" s="5" t="str">
        <f>IF([1]Employees!$I138&gt;=90000, "High", "Low")</f>
        <v>High</v>
      </c>
      <c r="N138" s="6" t="str" cm="1">
        <f t="array" ref="N138">_xlfn.IFS([1]Employees!$I138&gt;=90000, "High", [1]Employees!$I138&gt;=50000, "Medium", [1]Employees!$I138&lt;50000, "Low")</f>
        <v>High</v>
      </c>
      <c r="O138" s="15" t="str">
        <f>IF([1]Employees!$I138&gt;=90000, "High", IF([1]Employees!$I138&gt;=50000, "Medium", "Low"))</f>
        <v>High</v>
      </c>
    </row>
    <row r="139" spans="1:15" x14ac:dyDescent="0.3">
      <c r="A139" s="4" t="s">
        <v>462</v>
      </c>
      <c r="B139" s="4" t="s">
        <v>41</v>
      </c>
      <c r="C139" s="4" t="s">
        <v>48</v>
      </c>
      <c r="D139" s="4" t="s">
        <v>27</v>
      </c>
      <c r="E139" s="4">
        <v>59</v>
      </c>
      <c r="F139" s="4" t="s">
        <v>42</v>
      </c>
      <c r="G139" s="4" t="s">
        <v>20</v>
      </c>
      <c r="H139" s="4" t="s">
        <v>463</v>
      </c>
      <c r="I139" s="4">
        <v>60835</v>
      </c>
      <c r="J139" s="4" t="s">
        <v>63</v>
      </c>
      <c r="K139" s="4" t="s">
        <v>464</v>
      </c>
      <c r="L139" s="4" t="s">
        <v>24</v>
      </c>
      <c r="M139" s="5" t="str">
        <f>IF([1]Employees!$I139&gt;=90000, "High", "Low")</f>
        <v>Low</v>
      </c>
      <c r="N139" s="6" t="str" cm="1">
        <f t="array" ref="N139">_xlfn.IFS([1]Employees!$I139&gt;=90000, "High", [1]Employees!$I139&gt;=50000, "Medium", [1]Employees!$I139&lt;50000, "Low")</f>
        <v>Medium</v>
      </c>
      <c r="O139" s="15" t="str">
        <f>IF([1]Employees!$I139&gt;=90000, "High", IF([1]Employees!$I139&gt;=50000, "Medium", "Low"))</f>
        <v>Medium</v>
      </c>
    </row>
    <row r="140" spans="1:15" x14ac:dyDescent="0.3">
      <c r="A140" s="4" t="s">
        <v>465</v>
      </c>
      <c r="B140" s="4" t="s">
        <v>52</v>
      </c>
      <c r="C140" s="4" t="s">
        <v>168</v>
      </c>
      <c r="D140" s="4" t="s">
        <v>27</v>
      </c>
      <c r="E140" s="4">
        <v>31</v>
      </c>
      <c r="F140" s="4" t="s">
        <v>34</v>
      </c>
      <c r="G140" s="4" t="s">
        <v>29</v>
      </c>
      <c r="H140" s="4" t="s">
        <v>466</v>
      </c>
      <c r="I140" s="4">
        <v>105179</v>
      </c>
      <c r="J140" s="4" t="s">
        <v>22</v>
      </c>
      <c r="K140" s="4" t="s">
        <v>467</v>
      </c>
      <c r="L140" s="4" t="s">
        <v>24</v>
      </c>
      <c r="M140" s="5" t="str">
        <f>IF([1]Employees!$I140&gt;=90000, "High", "Low")</f>
        <v>High</v>
      </c>
      <c r="N140" s="6" t="str" cm="1">
        <f t="array" ref="N140">_xlfn.IFS([1]Employees!$I140&gt;=90000, "High", [1]Employees!$I140&gt;=50000, "Medium", [1]Employees!$I140&lt;50000, "Low")</f>
        <v>High</v>
      </c>
      <c r="O140" s="15" t="str">
        <f>IF([1]Employees!$I140&gt;=90000, "High", IF([1]Employees!$I140&gt;=50000, "Medium", "Low"))</f>
        <v>High</v>
      </c>
    </row>
    <row r="141" spans="1:15" x14ac:dyDescent="0.3">
      <c r="A141" s="4" t="s">
        <v>468</v>
      </c>
      <c r="B141" s="4" t="s">
        <v>97</v>
      </c>
      <c r="C141" s="4" t="s">
        <v>168</v>
      </c>
      <c r="D141" s="4" t="s">
        <v>18</v>
      </c>
      <c r="E141" s="4">
        <v>48</v>
      </c>
      <c r="F141" s="4" t="s">
        <v>34</v>
      </c>
      <c r="G141" s="4" t="s">
        <v>43</v>
      </c>
      <c r="H141" s="4" t="s">
        <v>469</v>
      </c>
      <c r="I141" s="4">
        <v>109704</v>
      </c>
      <c r="J141" s="4" t="s">
        <v>83</v>
      </c>
      <c r="K141" s="4" t="s">
        <v>470</v>
      </c>
      <c r="L141" s="4" t="s">
        <v>39</v>
      </c>
      <c r="M141" s="5" t="str">
        <f>IF([1]Employees!$I141&gt;=90000, "High", "Low")</f>
        <v>High</v>
      </c>
      <c r="N141" s="6" t="str" cm="1">
        <f t="array" ref="N141">_xlfn.IFS([1]Employees!$I141&gt;=90000, "High", [1]Employees!$I141&gt;=50000, "Medium", [1]Employees!$I141&lt;50000, "Low")</f>
        <v>High</v>
      </c>
      <c r="O141" s="15" t="str">
        <f>IF([1]Employees!$I141&gt;=90000, "High", IF([1]Employees!$I141&gt;=50000, "Medium", "Low"))</f>
        <v>High</v>
      </c>
    </row>
    <row r="142" spans="1:15" x14ac:dyDescent="0.3">
      <c r="A142" s="4" t="s">
        <v>471</v>
      </c>
      <c r="B142" s="4" t="s">
        <v>57</v>
      </c>
      <c r="C142" s="4" t="s">
        <v>133</v>
      </c>
      <c r="D142" s="4" t="s">
        <v>18</v>
      </c>
      <c r="E142" s="4">
        <v>32</v>
      </c>
      <c r="F142" s="4" t="s">
        <v>42</v>
      </c>
      <c r="G142" s="4" t="s">
        <v>35</v>
      </c>
      <c r="H142" s="4" t="s">
        <v>472</v>
      </c>
      <c r="I142" s="4">
        <v>68125</v>
      </c>
      <c r="J142" s="4" t="s">
        <v>37</v>
      </c>
      <c r="K142" s="4" t="s">
        <v>473</v>
      </c>
      <c r="L142" s="4" t="s">
        <v>24</v>
      </c>
      <c r="M142" s="5" t="str">
        <f>IF([1]Employees!$I142&gt;=90000, "High", "Low")</f>
        <v>Low</v>
      </c>
      <c r="N142" s="6" t="str" cm="1">
        <f t="array" ref="N142">_xlfn.IFS([1]Employees!$I142&gt;=90000, "High", [1]Employees!$I142&gt;=50000, "Medium", [1]Employees!$I142&lt;50000, "Low")</f>
        <v>Medium</v>
      </c>
      <c r="O142" s="15" t="str">
        <f>IF([1]Employees!$I142&gt;=90000, "High", IF([1]Employees!$I142&gt;=50000, "Medium", "Low"))</f>
        <v>Medium</v>
      </c>
    </row>
    <row r="143" spans="1:15" x14ac:dyDescent="0.3">
      <c r="A143" s="4" t="s">
        <v>474</v>
      </c>
      <c r="B143" s="4" t="s">
        <v>41</v>
      </c>
      <c r="C143" s="4" t="s">
        <v>81</v>
      </c>
      <c r="D143" s="4" t="s">
        <v>18</v>
      </c>
      <c r="E143" s="4">
        <v>47</v>
      </c>
      <c r="F143" s="4" t="s">
        <v>34</v>
      </c>
      <c r="G143" s="4" t="s">
        <v>20</v>
      </c>
      <c r="H143" s="4" t="s">
        <v>475</v>
      </c>
      <c r="I143" s="4">
        <v>96812</v>
      </c>
      <c r="J143" s="4" t="s">
        <v>83</v>
      </c>
      <c r="K143" s="4" t="s">
        <v>476</v>
      </c>
      <c r="L143" s="4" t="s">
        <v>24</v>
      </c>
      <c r="M143" s="5" t="str">
        <f>IF([1]Employees!$I143&gt;=90000, "High", "Low")</f>
        <v>High</v>
      </c>
      <c r="N143" s="6" t="str" cm="1">
        <f t="array" ref="N143">_xlfn.IFS([1]Employees!$I143&gt;=90000, "High", [1]Employees!$I143&gt;=50000, "Medium", [1]Employees!$I143&lt;50000, "Low")</f>
        <v>High</v>
      </c>
      <c r="O143" s="15" t="str">
        <f>IF([1]Employees!$I143&gt;=90000, "High", IF([1]Employees!$I143&gt;=50000, "Medium", "Low"))</f>
        <v>High</v>
      </c>
    </row>
    <row r="144" spans="1:15" x14ac:dyDescent="0.3">
      <c r="A144" s="4" t="s">
        <v>477</v>
      </c>
      <c r="B144" s="4" t="s">
        <v>61</v>
      </c>
      <c r="C144" s="4" t="s">
        <v>168</v>
      </c>
      <c r="D144" s="4" t="s">
        <v>18</v>
      </c>
      <c r="E144" s="4">
        <v>47</v>
      </c>
      <c r="F144" s="4" t="s">
        <v>53</v>
      </c>
      <c r="G144" s="4" t="s">
        <v>29</v>
      </c>
      <c r="H144" s="4" t="s">
        <v>478</v>
      </c>
      <c r="I144" s="4">
        <v>116650</v>
      </c>
      <c r="J144" s="4" t="s">
        <v>68</v>
      </c>
      <c r="K144" s="4" t="s">
        <v>479</v>
      </c>
      <c r="L144" s="4" t="s">
        <v>39</v>
      </c>
      <c r="M144" s="5" t="str">
        <f>IF([1]Employees!$I144&gt;=90000, "High", "Low")</f>
        <v>High</v>
      </c>
      <c r="N144" s="6" t="str" cm="1">
        <f t="array" ref="N144">_xlfn.IFS([1]Employees!$I144&gt;=90000, "High", [1]Employees!$I144&gt;=50000, "Medium", [1]Employees!$I144&lt;50000, "Low")</f>
        <v>High</v>
      </c>
      <c r="O144" s="15" t="str">
        <f>IF([1]Employees!$I144&gt;=90000, "High", IF([1]Employees!$I144&gt;=50000, "Medium", "Low"))</f>
        <v>High</v>
      </c>
    </row>
    <row r="145" spans="1:15" x14ac:dyDescent="0.3">
      <c r="A145" s="4" t="s">
        <v>480</v>
      </c>
      <c r="B145" s="4" t="s">
        <v>74</v>
      </c>
      <c r="C145" s="4" t="s">
        <v>86</v>
      </c>
      <c r="D145" s="4" t="s">
        <v>27</v>
      </c>
      <c r="E145" s="4">
        <v>28</v>
      </c>
      <c r="F145" s="4" t="s">
        <v>42</v>
      </c>
      <c r="G145" s="4" t="s">
        <v>29</v>
      </c>
      <c r="H145" s="4" t="s">
        <v>481</v>
      </c>
      <c r="I145" s="4">
        <v>86592</v>
      </c>
      <c r="J145" s="4" t="s">
        <v>83</v>
      </c>
      <c r="K145" s="4" t="s">
        <v>482</v>
      </c>
      <c r="L145" s="4" t="s">
        <v>39</v>
      </c>
      <c r="M145" s="5" t="str">
        <f>IF([1]Employees!$I145&gt;=90000, "High", "Low")</f>
        <v>Low</v>
      </c>
      <c r="N145" s="6" t="str" cm="1">
        <f t="array" ref="N145">_xlfn.IFS([1]Employees!$I145&gt;=90000, "High", [1]Employees!$I145&gt;=50000, "Medium", [1]Employees!$I145&lt;50000, "Low")</f>
        <v>Medium</v>
      </c>
      <c r="O145" s="15" t="str">
        <f>IF([1]Employees!$I145&gt;=90000, "High", IF([1]Employees!$I145&gt;=50000, "Medium", "Low"))</f>
        <v>Medium</v>
      </c>
    </row>
    <row r="146" spans="1:15" x14ac:dyDescent="0.3">
      <c r="A146" s="4" t="s">
        <v>483</v>
      </c>
      <c r="B146" s="4" t="s">
        <v>47</v>
      </c>
      <c r="C146" s="4" t="s">
        <v>26</v>
      </c>
      <c r="D146" s="4" t="s">
        <v>27</v>
      </c>
      <c r="E146" s="4">
        <v>57</v>
      </c>
      <c r="F146" s="4" t="s">
        <v>53</v>
      </c>
      <c r="G146" s="4" t="s">
        <v>29</v>
      </c>
      <c r="H146" s="4" t="s">
        <v>484</v>
      </c>
      <c r="I146" s="4">
        <v>78320</v>
      </c>
      <c r="J146" s="4" t="s">
        <v>37</v>
      </c>
      <c r="K146" s="4" t="s">
        <v>485</v>
      </c>
      <c r="L146" s="4" t="s">
        <v>24</v>
      </c>
      <c r="M146" s="5" t="str">
        <f>IF([1]Employees!$I146&gt;=90000, "High", "Low")</f>
        <v>Low</v>
      </c>
      <c r="N146" s="6" t="str" cm="1">
        <f t="array" ref="N146">_xlfn.IFS([1]Employees!$I146&gt;=90000, "High", [1]Employees!$I146&gt;=50000, "Medium", [1]Employees!$I146&lt;50000, "Low")</f>
        <v>Medium</v>
      </c>
      <c r="O146" s="15" t="str">
        <f>IF([1]Employees!$I146&gt;=90000, "High", IF([1]Employees!$I146&gt;=50000, "Medium", "Low"))</f>
        <v>Medium</v>
      </c>
    </row>
    <row r="147" spans="1:15" x14ac:dyDescent="0.3">
      <c r="A147" s="4" t="s">
        <v>486</v>
      </c>
      <c r="B147" s="4" t="s">
        <v>33</v>
      </c>
      <c r="C147" s="4" t="s">
        <v>48</v>
      </c>
      <c r="D147" s="4" t="s">
        <v>27</v>
      </c>
      <c r="E147" s="4">
        <v>40</v>
      </c>
      <c r="F147" s="4" t="s">
        <v>19</v>
      </c>
      <c r="G147" s="4" t="s">
        <v>20</v>
      </c>
      <c r="H147" s="4" t="s">
        <v>487</v>
      </c>
      <c r="I147" s="4">
        <v>50627</v>
      </c>
      <c r="J147" s="4" t="s">
        <v>83</v>
      </c>
      <c r="K147" s="4" t="s">
        <v>488</v>
      </c>
      <c r="L147" s="4" t="s">
        <v>39</v>
      </c>
      <c r="M147" s="5" t="str">
        <f>IF([1]Employees!$I147&gt;=90000, "High", "Low")</f>
        <v>Low</v>
      </c>
      <c r="N147" s="6" t="str" cm="1">
        <f t="array" ref="N147">_xlfn.IFS([1]Employees!$I147&gt;=90000, "High", [1]Employees!$I147&gt;=50000, "Medium", [1]Employees!$I147&lt;50000, "Low")</f>
        <v>Medium</v>
      </c>
      <c r="O147" s="15" t="str">
        <f>IF([1]Employees!$I147&gt;=90000, "High", IF([1]Employees!$I147&gt;=50000, "Medium", "Low"))</f>
        <v>Medium</v>
      </c>
    </row>
    <row r="148" spans="1:15" x14ac:dyDescent="0.3">
      <c r="A148" s="4" t="s">
        <v>489</v>
      </c>
      <c r="B148" s="4" t="s">
        <v>41</v>
      </c>
      <c r="C148" s="4" t="s">
        <v>98</v>
      </c>
      <c r="D148" s="4" t="s">
        <v>27</v>
      </c>
      <c r="E148" s="4">
        <v>47</v>
      </c>
      <c r="F148" s="4" t="s">
        <v>28</v>
      </c>
      <c r="G148" s="4" t="s">
        <v>29</v>
      </c>
      <c r="H148" s="4" t="s">
        <v>490</v>
      </c>
      <c r="I148" s="4">
        <v>84212</v>
      </c>
      <c r="J148" s="4" t="s">
        <v>37</v>
      </c>
      <c r="K148" s="4" t="s">
        <v>491</v>
      </c>
      <c r="L148" s="4" t="s">
        <v>39</v>
      </c>
      <c r="M148" s="5" t="str">
        <f>IF([1]Employees!$I148&gt;=90000, "High", "Low")</f>
        <v>Low</v>
      </c>
      <c r="N148" s="6" t="str" cm="1">
        <f t="array" ref="N148">_xlfn.IFS([1]Employees!$I148&gt;=90000, "High", [1]Employees!$I148&gt;=50000, "Medium", [1]Employees!$I148&lt;50000, "Low")</f>
        <v>Medium</v>
      </c>
      <c r="O148" s="15" t="str">
        <f>IF([1]Employees!$I148&gt;=90000, "High", IF([1]Employees!$I148&gt;=50000, "Medium", "Low"))</f>
        <v>Medium</v>
      </c>
    </row>
    <row r="149" spans="1:15" x14ac:dyDescent="0.3">
      <c r="A149" s="4" t="s">
        <v>492</v>
      </c>
      <c r="B149" s="4" t="s">
        <v>57</v>
      </c>
      <c r="C149" s="4" t="s">
        <v>66</v>
      </c>
      <c r="D149" s="4" t="s">
        <v>18</v>
      </c>
      <c r="E149" s="4">
        <v>53</v>
      </c>
      <c r="F149" s="4" t="s">
        <v>53</v>
      </c>
      <c r="G149" s="4" t="s">
        <v>35</v>
      </c>
      <c r="H149" s="4" t="s">
        <v>493</v>
      </c>
      <c r="I149" s="4">
        <v>98718</v>
      </c>
      <c r="J149" s="4" t="s">
        <v>37</v>
      </c>
      <c r="K149" s="4" t="s">
        <v>494</v>
      </c>
      <c r="L149" s="4" t="s">
        <v>24</v>
      </c>
      <c r="M149" s="5" t="str">
        <f>IF([1]Employees!$I149&gt;=90000, "High", "Low")</f>
        <v>High</v>
      </c>
      <c r="N149" s="6" t="str" cm="1">
        <f t="array" ref="N149">_xlfn.IFS([1]Employees!$I149&gt;=90000, "High", [1]Employees!$I149&gt;=50000, "Medium", [1]Employees!$I149&lt;50000, "Low")</f>
        <v>High</v>
      </c>
      <c r="O149" s="15" t="str">
        <f>IF([1]Employees!$I149&gt;=90000, "High", IF([1]Employees!$I149&gt;=50000, "Medium", "Low"))</f>
        <v>High</v>
      </c>
    </row>
    <row r="150" spans="1:15" x14ac:dyDescent="0.3">
      <c r="A150" s="4" t="s">
        <v>495</v>
      </c>
      <c r="B150" s="4" t="s">
        <v>146</v>
      </c>
      <c r="C150" s="4" t="s">
        <v>26</v>
      </c>
      <c r="D150" s="4" t="s">
        <v>27</v>
      </c>
      <c r="E150" s="4">
        <v>22</v>
      </c>
      <c r="F150" s="4" t="s">
        <v>19</v>
      </c>
      <c r="G150" s="4" t="s">
        <v>29</v>
      </c>
      <c r="H150" s="4" t="s">
        <v>196</v>
      </c>
      <c r="I150" s="4">
        <v>35307</v>
      </c>
      <c r="J150" s="4" t="s">
        <v>83</v>
      </c>
      <c r="K150" s="4" t="s">
        <v>496</v>
      </c>
      <c r="L150" s="4" t="s">
        <v>39</v>
      </c>
      <c r="M150" s="5" t="str">
        <f>IF([1]Employees!$I150&gt;=90000, "High", "Low")</f>
        <v>Low</v>
      </c>
      <c r="N150" s="6" t="str" cm="1">
        <f t="array" ref="N150">_xlfn.IFS([1]Employees!$I150&gt;=90000, "High", [1]Employees!$I150&gt;=50000, "Medium", [1]Employees!$I150&lt;50000, "Low")</f>
        <v>Low</v>
      </c>
      <c r="O150" s="15" t="str">
        <f>IF([1]Employees!$I150&gt;=90000, "High", IF([1]Employees!$I150&gt;=50000, "Medium", "Low"))</f>
        <v>Low</v>
      </c>
    </row>
    <row r="151" spans="1:15" x14ac:dyDescent="0.3">
      <c r="A151" s="4" t="s">
        <v>497</v>
      </c>
      <c r="B151" s="4" t="s">
        <v>33</v>
      </c>
      <c r="C151" s="4" t="s">
        <v>133</v>
      </c>
      <c r="D151" s="4" t="s">
        <v>18</v>
      </c>
      <c r="E151" s="4">
        <v>54</v>
      </c>
      <c r="F151" s="4" t="s">
        <v>28</v>
      </c>
      <c r="G151" s="4" t="s">
        <v>111</v>
      </c>
      <c r="H151" s="4" t="s">
        <v>498</v>
      </c>
      <c r="I151" s="4">
        <v>92735</v>
      </c>
      <c r="J151" s="4" t="s">
        <v>63</v>
      </c>
      <c r="K151" s="4" t="s">
        <v>499</v>
      </c>
      <c r="L151" s="4" t="s">
        <v>39</v>
      </c>
      <c r="M151" s="5" t="str">
        <f>IF([1]Employees!$I151&gt;=90000, "High", "Low")</f>
        <v>High</v>
      </c>
      <c r="N151" s="6" t="str" cm="1">
        <f t="array" ref="N151">_xlfn.IFS([1]Employees!$I151&gt;=90000, "High", [1]Employees!$I151&gt;=50000, "Medium", [1]Employees!$I151&lt;50000, "Low")</f>
        <v>High</v>
      </c>
      <c r="O151" s="15" t="str">
        <f>IF([1]Employees!$I151&gt;=90000, "High", IF([1]Employees!$I151&gt;=50000, "Medium", "Low"))</f>
        <v>High</v>
      </c>
    </row>
    <row r="152" spans="1:15" x14ac:dyDescent="0.3">
      <c r="A152" s="4" t="s">
        <v>500</v>
      </c>
      <c r="B152" s="4" t="s">
        <v>97</v>
      </c>
      <c r="C152" s="4" t="s">
        <v>17</v>
      </c>
      <c r="D152" s="4" t="s">
        <v>27</v>
      </c>
      <c r="E152" s="4">
        <v>45</v>
      </c>
      <c r="F152" s="4" t="s">
        <v>53</v>
      </c>
      <c r="G152" s="4" t="s">
        <v>20</v>
      </c>
      <c r="H152" s="4" t="s">
        <v>501</v>
      </c>
      <c r="I152" s="4">
        <v>55679</v>
      </c>
      <c r="J152" s="4" t="s">
        <v>63</v>
      </c>
      <c r="K152" s="4" t="s">
        <v>502</v>
      </c>
      <c r="L152" s="4" t="s">
        <v>39</v>
      </c>
      <c r="M152" s="5" t="str">
        <f>IF([1]Employees!$I152&gt;=90000, "High", "Low")</f>
        <v>Low</v>
      </c>
      <c r="N152" s="6" t="str" cm="1">
        <f t="array" ref="N152">_xlfn.IFS([1]Employees!$I152&gt;=90000, "High", [1]Employees!$I152&gt;=50000, "Medium", [1]Employees!$I152&lt;50000, "Low")</f>
        <v>Medium</v>
      </c>
      <c r="O152" s="15" t="str">
        <f>IF([1]Employees!$I152&gt;=90000, "High", IF([1]Employees!$I152&gt;=50000, "Medium", "Low"))</f>
        <v>Medium</v>
      </c>
    </row>
    <row r="153" spans="1:15" x14ac:dyDescent="0.3">
      <c r="A153" s="4" t="s">
        <v>503</v>
      </c>
      <c r="B153" s="4" t="s">
        <v>41</v>
      </c>
      <c r="C153" s="4" t="s">
        <v>93</v>
      </c>
      <c r="D153" s="4" t="s">
        <v>18</v>
      </c>
      <c r="E153" s="4">
        <v>25</v>
      </c>
      <c r="F153" s="4" t="s">
        <v>28</v>
      </c>
      <c r="G153" s="4" t="s">
        <v>35</v>
      </c>
      <c r="H153" s="4" t="s">
        <v>504</v>
      </c>
      <c r="I153" s="4">
        <v>94614</v>
      </c>
      <c r="J153" s="4" t="s">
        <v>37</v>
      </c>
      <c r="K153" s="4" t="s">
        <v>505</v>
      </c>
      <c r="L153" s="4" t="s">
        <v>24</v>
      </c>
      <c r="M153" s="5" t="str">
        <f>IF([1]Employees!$I153&gt;=90000, "High", "Low")</f>
        <v>High</v>
      </c>
      <c r="N153" s="6" t="str" cm="1">
        <f t="array" ref="N153">_xlfn.IFS([1]Employees!$I153&gt;=90000, "High", [1]Employees!$I153&gt;=50000, "Medium", [1]Employees!$I153&lt;50000, "Low")</f>
        <v>High</v>
      </c>
      <c r="O153" s="15" t="str">
        <f>IF([1]Employees!$I153&gt;=90000, "High", IF([1]Employees!$I153&gt;=50000, "Medium", "Low"))</f>
        <v>High</v>
      </c>
    </row>
    <row r="154" spans="1:15" x14ac:dyDescent="0.3">
      <c r="A154" s="4" t="s">
        <v>506</v>
      </c>
      <c r="B154" s="4" t="s">
        <v>33</v>
      </c>
      <c r="C154" s="4" t="s">
        <v>93</v>
      </c>
      <c r="D154" s="4" t="s">
        <v>27</v>
      </c>
      <c r="E154" s="4">
        <v>53</v>
      </c>
      <c r="F154" s="4" t="s">
        <v>34</v>
      </c>
      <c r="G154" s="4" t="s">
        <v>43</v>
      </c>
      <c r="H154" s="4" t="s">
        <v>507</v>
      </c>
      <c r="I154" s="4">
        <v>102516</v>
      </c>
      <c r="J154" s="4" t="s">
        <v>37</v>
      </c>
      <c r="K154" s="4" t="s">
        <v>508</v>
      </c>
      <c r="L154" s="4" t="s">
        <v>24</v>
      </c>
      <c r="M154" s="5" t="str">
        <f>IF([1]Employees!$I154&gt;=90000, "High", "Low")</f>
        <v>High</v>
      </c>
      <c r="N154" s="6" t="str" cm="1">
        <f t="array" ref="N154">_xlfn.IFS([1]Employees!$I154&gt;=90000, "High", [1]Employees!$I154&gt;=50000, "Medium", [1]Employees!$I154&lt;50000, "Low")</f>
        <v>High</v>
      </c>
      <c r="O154" s="15" t="str">
        <f>IF([1]Employees!$I154&gt;=90000, "High", IF([1]Employees!$I154&gt;=50000, "Medium", "Low"))</f>
        <v>High</v>
      </c>
    </row>
    <row r="155" spans="1:15" x14ac:dyDescent="0.3">
      <c r="A155" s="4" t="s">
        <v>509</v>
      </c>
      <c r="B155" s="4" t="s">
        <v>52</v>
      </c>
      <c r="C155" s="4" t="s">
        <v>93</v>
      </c>
      <c r="D155" s="4" t="s">
        <v>27</v>
      </c>
      <c r="E155" s="4">
        <v>48</v>
      </c>
      <c r="F155" s="4" t="s">
        <v>34</v>
      </c>
      <c r="G155" s="4" t="s">
        <v>20</v>
      </c>
      <c r="H155" s="4" t="s">
        <v>510</v>
      </c>
      <c r="I155" s="4">
        <v>47666</v>
      </c>
      <c r="J155" s="4" t="s">
        <v>83</v>
      </c>
      <c r="K155" s="4" t="s">
        <v>511</v>
      </c>
      <c r="L155" s="4" t="s">
        <v>39</v>
      </c>
      <c r="M155" s="5" t="str">
        <f>IF([1]Employees!$I155&gt;=90000, "High", "Low")</f>
        <v>Low</v>
      </c>
      <c r="N155" s="6" t="str" cm="1">
        <f t="array" ref="N155">_xlfn.IFS([1]Employees!$I155&gt;=90000, "High", [1]Employees!$I155&gt;=50000, "Medium", [1]Employees!$I155&lt;50000, "Low")</f>
        <v>Low</v>
      </c>
      <c r="O155" s="15" t="str">
        <f>IF([1]Employees!$I155&gt;=90000, "High", IF([1]Employees!$I155&gt;=50000, "Medium", "Low"))</f>
        <v>Low</v>
      </c>
    </row>
    <row r="156" spans="1:15" x14ac:dyDescent="0.3">
      <c r="A156" s="4" t="s">
        <v>512</v>
      </c>
      <c r="B156" s="4" t="s">
        <v>57</v>
      </c>
      <c r="C156" s="4" t="s">
        <v>26</v>
      </c>
      <c r="D156" s="4" t="s">
        <v>18</v>
      </c>
      <c r="E156" s="4">
        <v>27</v>
      </c>
      <c r="F156" s="4" t="s">
        <v>19</v>
      </c>
      <c r="G156" s="4" t="s">
        <v>43</v>
      </c>
      <c r="H156" s="4" t="s">
        <v>513</v>
      </c>
      <c r="I156" s="4">
        <v>72710</v>
      </c>
      <c r="J156" s="4" t="s">
        <v>83</v>
      </c>
      <c r="K156" s="4" t="s">
        <v>514</v>
      </c>
      <c r="L156" s="4" t="s">
        <v>39</v>
      </c>
      <c r="M156" s="5" t="str">
        <f>IF([1]Employees!$I156&gt;=90000, "High", "Low")</f>
        <v>Low</v>
      </c>
      <c r="N156" s="6" t="str" cm="1">
        <f t="array" ref="N156">_xlfn.IFS([1]Employees!$I156&gt;=90000, "High", [1]Employees!$I156&gt;=50000, "Medium", [1]Employees!$I156&lt;50000, "Low")</f>
        <v>Medium</v>
      </c>
      <c r="O156" s="15" t="str">
        <f>IF([1]Employees!$I156&gt;=90000, "High", IF([1]Employees!$I156&gt;=50000, "Medium", "Low"))</f>
        <v>Medium</v>
      </c>
    </row>
    <row r="157" spans="1:15" x14ac:dyDescent="0.3">
      <c r="A157" s="4" t="s">
        <v>515</v>
      </c>
      <c r="B157" s="4" t="s">
        <v>74</v>
      </c>
      <c r="C157" s="4" t="s">
        <v>26</v>
      </c>
      <c r="D157" s="4" t="s">
        <v>27</v>
      </c>
      <c r="E157" s="4">
        <v>22</v>
      </c>
      <c r="F157" s="4" t="s">
        <v>28</v>
      </c>
      <c r="G157" s="4" t="s">
        <v>111</v>
      </c>
      <c r="H157" s="4" t="s">
        <v>516</v>
      </c>
      <c r="I157" s="4">
        <v>60944</v>
      </c>
      <c r="J157" s="4" t="s">
        <v>68</v>
      </c>
      <c r="K157" s="4" t="s">
        <v>517</v>
      </c>
      <c r="L157" s="4" t="s">
        <v>39</v>
      </c>
      <c r="M157" s="5" t="str">
        <f>IF([1]Employees!$I157&gt;=90000, "High", "Low")</f>
        <v>Low</v>
      </c>
      <c r="N157" s="6" t="str" cm="1">
        <f t="array" ref="N157">_xlfn.IFS([1]Employees!$I157&gt;=90000, "High", [1]Employees!$I157&gt;=50000, "Medium", [1]Employees!$I157&lt;50000, "Low")</f>
        <v>Medium</v>
      </c>
      <c r="O157" s="15" t="str">
        <f>IF([1]Employees!$I157&gt;=90000, "High", IF([1]Employees!$I157&gt;=50000, "Medium", "Low"))</f>
        <v>Medium</v>
      </c>
    </row>
    <row r="158" spans="1:15" x14ac:dyDescent="0.3">
      <c r="A158" s="4" t="s">
        <v>518</v>
      </c>
      <c r="B158" s="4" t="s">
        <v>57</v>
      </c>
      <c r="C158" s="4" t="s">
        <v>81</v>
      </c>
      <c r="D158" s="4" t="s">
        <v>18</v>
      </c>
      <c r="E158" s="4">
        <v>39</v>
      </c>
      <c r="F158" s="4" t="s">
        <v>53</v>
      </c>
      <c r="G158" s="4" t="s">
        <v>35</v>
      </c>
      <c r="H158" s="4" t="s">
        <v>519</v>
      </c>
      <c r="I158" s="4">
        <v>87181</v>
      </c>
      <c r="J158" s="4" t="s">
        <v>63</v>
      </c>
      <c r="K158" s="4" t="s">
        <v>520</v>
      </c>
      <c r="L158" s="4" t="s">
        <v>24</v>
      </c>
      <c r="M158" s="5" t="str">
        <f>IF([1]Employees!$I158&gt;=90000, "High", "Low")</f>
        <v>Low</v>
      </c>
      <c r="N158" s="6" t="str" cm="1">
        <f t="array" ref="N158">_xlfn.IFS([1]Employees!$I158&gt;=90000, "High", [1]Employees!$I158&gt;=50000, "Medium", [1]Employees!$I158&lt;50000, "Low")</f>
        <v>Medium</v>
      </c>
      <c r="O158" s="15" t="str">
        <f>IF([1]Employees!$I158&gt;=90000, "High", IF([1]Employees!$I158&gt;=50000, "Medium", "Low"))</f>
        <v>Medium</v>
      </c>
    </row>
    <row r="159" spans="1:15" x14ac:dyDescent="0.3">
      <c r="A159" s="4" t="s">
        <v>521</v>
      </c>
      <c r="B159" s="4" t="s">
        <v>74</v>
      </c>
      <c r="C159" s="4" t="s">
        <v>66</v>
      </c>
      <c r="D159" s="4" t="s">
        <v>18</v>
      </c>
      <c r="E159" s="4">
        <v>42</v>
      </c>
      <c r="F159" s="4" t="s">
        <v>34</v>
      </c>
      <c r="G159" s="4" t="s">
        <v>35</v>
      </c>
      <c r="H159" s="4" t="s">
        <v>522</v>
      </c>
      <c r="I159" s="4">
        <v>65659</v>
      </c>
      <c r="J159" s="4" t="s">
        <v>68</v>
      </c>
      <c r="K159" s="4" t="s">
        <v>523</v>
      </c>
      <c r="L159" s="4" t="s">
        <v>39</v>
      </c>
      <c r="M159" s="5" t="str">
        <f>IF([1]Employees!$I159&gt;=90000, "High", "Low")</f>
        <v>Low</v>
      </c>
      <c r="N159" s="6" t="str" cm="1">
        <f t="array" ref="N159">_xlfn.IFS([1]Employees!$I159&gt;=90000, "High", [1]Employees!$I159&gt;=50000, "Medium", [1]Employees!$I159&lt;50000, "Low")</f>
        <v>Medium</v>
      </c>
      <c r="O159" s="15" t="str">
        <f>IF([1]Employees!$I159&gt;=90000, "High", IF([1]Employees!$I159&gt;=50000, "Medium", "Low"))</f>
        <v>Medium</v>
      </c>
    </row>
    <row r="160" spans="1:15" x14ac:dyDescent="0.3">
      <c r="A160" s="4" t="s">
        <v>524</v>
      </c>
      <c r="B160" s="4" t="s">
        <v>52</v>
      </c>
      <c r="C160" s="4" t="s">
        <v>81</v>
      </c>
      <c r="D160" s="4" t="s">
        <v>27</v>
      </c>
      <c r="E160" s="4">
        <v>46</v>
      </c>
      <c r="F160" s="4" t="s">
        <v>53</v>
      </c>
      <c r="G160" s="4" t="s">
        <v>35</v>
      </c>
      <c r="H160" s="4" t="s">
        <v>525</v>
      </c>
      <c r="I160" s="4">
        <v>100538</v>
      </c>
      <c r="J160" s="4" t="s">
        <v>68</v>
      </c>
      <c r="K160" s="4" t="s">
        <v>526</v>
      </c>
      <c r="L160" s="4" t="s">
        <v>24</v>
      </c>
      <c r="M160" s="5" t="str">
        <f>IF([1]Employees!$I160&gt;=90000, "High", "Low")</f>
        <v>High</v>
      </c>
      <c r="N160" s="6" t="str" cm="1">
        <f t="array" ref="N160">_xlfn.IFS([1]Employees!$I160&gt;=90000, "High", [1]Employees!$I160&gt;=50000, "Medium", [1]Employees!$I160&lt;50000, "Low")</f>
        <v>High</v>
      </c>
      <c r="O160" s="15" t="str">
        <f>IF([1]Employees!$I160&gt;=90000, "High", IF([1]Employees!$I160&gt;=50000, "Medium", "Low"))</f>
        <v>High</v>
      </c>
    </row>
    <row r="161" spans="1:15" x14ac:dyDescent="0.3">
      <c r="A161" s="4" t="s">
        <v>527</v>
      </c>
      <c r="B161" s="4" t="s">
        <v>74</v>
      </c>
      <c r="C161" s="4" t="s">
        <v>168</v>
      </c>
      <c r="D161" s="4" t="s">
        <v>27</v>
      </c>
      <c r="E161" s="4">
        <v>49</v>
      </c>
      <c r="F161" s="4" t="s">
        <v>53</v>
      </c>
      <c r="G161" s="4" t="s">
        <v>35</v>
      </c>
      <c r="H161" s="4" t="s">
        <v>528</v>
      </c>
      <c r="I161" s="4">
        <v>109819</v>
      </c>
      <c r="J161" s="4" t="s">
        <v>22</v>
      </c>
      <c r="K161" s="4" t="s">
        <v>529</v>
      </c>
      <c r="L161" s="4" t="s">
        <v>24</v>
      </c>
      <c r="M161" s="5" t="str">
        <f>IF([1]Employees!$I161&gt;=90000, "High", "Low")</f>
        <v>High</v>
      </c>
      <c r="N161" s="6" t="str" cm="1">
        <f t="array" ref="N161">_xlfn.IFS([1]Employees!$I161&gt;=90000, "High", [1]Employees!$I161&gt;=50000, "Medium", [1]Employees!$I161&lt;50000, "Low")</f>
        <v>High</v>
      </c>
      <c r="O161" s="15" t="str">
        <f>IF([1]Employees!$I161&gt;=90000, "High", IF([1]Employees!$I161&gt;=50000, "Medium", "Low"))</f>
        <v>High</v>
      </c>
    </row>
    <row r="162" spans="1:15" x14ac:dyDescent="0.3">
      <c r="A162" s="4" t="s">
        <v>530</v>
      </c>
      <c r="B162" s="4" t="s">
        <v>41</v>
      </c>
      <c r="C162" s="4" t="s">
        <v>17</v>
      </c>
      <c r="D162" s="4" t="s">
        <v>18</v>
      </c>
      <c r="E162" s="4">
        <v>24</v>
      </c>
      <c r="F162" s="4" t="s">
        <v>34</v>
      </c>
      <c r="G162" s="4" t="s">
        <v>43</v>
      </c>
      <c r="H162" s="4" t="s">
        <v>531</v>
      </c>
      <c r="I162" s="4">
        <v>113747</v>
      </c>
      <c r="J162" s="4" t="s">
        <v>63</v>
      </c>
      <c r="K162" s="4" t="s">
        <v>532</v>
      </c>
      <c r="L162" s="4" t="s">
        <v>24</v>
      </c>
      <c r="M162" s="5" t="str">
        <f>IF([1]Employees!$I162&gt;=90000, "High", "Low")</f>
        <v>High</v>
      </c>
      <c r="N162" s="6" t="str" cm="1">
        <f t="array" ref="N162">_xlfn.IFS([1]Employees!$I162&gt;=90000, "High", [1]Employees!$I162&gt;=50000, "Medium", [1]Employees!$I162&lt;50000, "Low")</f>
        <v>High</v>
      </c>
      <c r="O162" s="15" t="str">
        <f>IF([1]Employees!$I162&gt;=90000, "High", IF([1]Employees!$I162&gt;=50000, "Medium", "Low"))</f>
        <v>High</v>
      </c>
    </row>
    <row r="163" spans="1:15" x14ac:dyDescent="0.3">
      <c r="A163" s="4" t="s">
        <v>533</v>
      </c>
      <c r="B163" s="4" t="s">
        <v>97</v>
      </c>
      <c r="C163" s="4" t="s">
        <v>48</v>
      </c>
      <c r="D163" s="4" t="s">
        <v>27</v>
      </c>
      <c r="E163" s="4">
        <v>51</v>
      </c>
      <c r="F163" s="4" t="s">
        <v>53</v>
      </c>
      <c r="G163" s="4" t="s">
        <v>29</v>
      </c>
      <c r="H163" s="4" t="s">
        <v>261</v>
      </c>
      <c r="I163" s="4">
        <v>103468</v>
      </c>
      <c r="J163" s="4" t="s">
        <v>68</v>
      </c>
      <c r="K163" s="4" t="s">
        <v>534</v>
      </c>
      <c r="L163" s="4" t="s">
        <v>24</v>
      </c>
      <c r="M163" s="5" t="str">
        <f>IF([1]Employees!$I163&gt;=90000, "High", "Low")</f>
        <v>High</v>
      </c>
      <c r="N163" s="6" t="str" cm="1">
        <f t="array" ref="N163">_xlfn.IFS([1]Employees!$I163&gt;=90000, "High", [1]Employees!$I163&gt;=50000, "Medium", [1]Employees!$I163&lt;50000, "Low")</f>
        <v>High</v>
      </c>
      <c r="O163" s="15" t="str">
        <f>IF([1]Employees!$I163&gt;=90000, "High", IF([1]Employees!$I163&gt;=50000, "Medium", "Low"))</f>
        <v>High</v>
      </c>
    </row>
    <row r="164" spans="1:15" x14ac:dyDescent="0.3">
      <c r="A164" s="4" t="s">
        <v>535</v>
      </c>
      <c r="B164" s="4" t="s">
        <v>33</v>
      </c>
      <c r="C164" s="4" t="s">
        <v>93</v>
      </c>
      <c r="D164" s="4" t="s">
        <v>27</v>
      </c>
      <c r="E164" s="4">
        <v>22</v>
      </c>
      <c r="F164" s="4" t="s">
        <v>34</v>
      </c>
      <c r="G164" s="4" t="s">
        <v>35</v>
      </c>
      <c r="H164" s="4" t="s">
        <v>536</v>
      </c>
      <c r="I164" s="4">
        <v>55327</v>
      </c>
      <c r="J164" s="4" t="s">
        <v>68</v>
      </c>
      <c r="K164" s="4" t="s">
        <v>537</v>
      </c>
      <c r="L164" s="4" t="s">
        <v>39</v>
      </c>
      <c r="M164" s="5" t="str">
        <f>IF([1]Employees!$I164&gt;=90000, "High", "Low")</f>
        <v>Low</v>
      </c>
      <c r="N164" s="6" t="str" cm="1">
        <f t="array" ref="N164">_xlfn.IFS([1]Employees!$I164&gt;=90000, "High", [1]Employees!$I164&gt;=50000, "Medium", [1]Employees!$I164&lt;50000, "Low")</f>
        <v>Medium</v>
      </c>
      <c r="O164" s="15" t="str">
        <f>IF([1]Employees!$I164&gt;=90000, "High", IF([1]Employees!$I164&gt;=50000, "Medium", "Low"))</f>
        <v>Medium</v>
      </c>
    </row>
    <row r="165" spans="1:15" x14ac:dyDescent="0.3">
      <c r="A165" s="4" t="s">
        <v>538</v>
      </c>
      <c r="B165" s="4" t="s">
        <v>52</v>
      </c>
      <c r="C165" s="4" t="s">
        <v>48</v>
      </c>
      <c r="D165" s="4" t="s">
        <v>27</v>
      </c>
      <c r="E165" s="4">
        <v>43</v>
      </c>
      <c r="F165" s="4" t="s">
        <v>34</v>
      </c>
      <c r="G165" s="4" t="s">
        <v>29</v>
      </c>
      <c r="H165" s="4" t="s">
        <v>539</v>
      </c>
      <c r="I165" s="4">
        <v>89628</v>
      </c>
      <c r="J165" s="4" t="s">
        <v>63</v>
      </c>
      <c r="K165" s="4" t="s">
        <v>540</v>
      </c>
      <c r="L165" s="4" t="s">
        <v>24</v>
      </c>
      <c r="M165" s="5" t="str">
        <f>IF([1]Employees!$I165&gt;=90000, "High", "Low")</f>
        <v>Low</v>
      </c>
      <c r="N165" s="6" t="str" cm="1">
        <f t="array" ref="N165">_xlfn.IFS([1]Employees!$I165&gt;=90000, "High", [1]Employees!$I165&gt;=50000, "Medium", [1]Employees!$I165&lt;50000, "Low")</f>
        <v>Medium</v>
      </c>
      <c r="O165" s="15" t="str">
        <f>IF([1]Employees!$I165&gt;=90000, "High", IF([1]Employees!$I165&gt;=50000, "Medium", "Low"))</f>
        <v>Medium</v>
      </c>
    </row>
    <row r="166" spans="1:15" x14ac:dyDescent="0.3">
      <c r="A166" s="4" t="s">
        <v>541</v>
      </c>
      <c r="B166" s="4" t="s">
        <v>47</v>
      </c>
      <c r="C166" s="4" t="s">
        <v>81</v>
      </c>
      <c r="D166" s="4" t="s">
        <v>18</v>
      </c>
      <c r="E166" s="4">
        <v>25</v>
      </c>
      <c r="F166" s="4" t="s">
        <v>53</v>
      </c>
      <c r="G166" s="4" t="s">
        <v>111</v>
      </c>
      <c r="H166" s="4" t="s">
        <v>542</v>
      </c>
      <c r="I166" s="4">
        <v>98304</v>
      </c>
      <c r="J166" s="4" t="s">
        <v>83</v>
      </c>
      <c r="K166" s="4" t="s">
        <v>543</v>
      </c>
      <c r="L166" s="4" t="s">
        <v>39</v>
      </c>
      <c r="M166" s="5" t="str">
        <f>IF([1]Employees!$I166&gt;=90000, "High", "Low")</f>
        <v>High</v>
      </c>
      <c r="N166" s="6" t="str" cm="1">
        <f t="array" ref="N166">_xlfn.IFS([1]Employees!$I166&gt;=90000, "High", [1]Employees!$I166&gt;=50000, "Medium", [1]Employees!$I166&lt;50000, "Low")</f>
        <v>High</v>
      </c>
      <c r="O166" s="15" t="str">
        <f>IF([1]Employees!$I166&gt;=90000, "High", IF([1]Employees!$I166&gt;=50000, "Medium", "Low"))</f>
        <v>High</v>
      </c>
    </row>
    <row r="167" spans="1:15" x14ac:dyDescent="0.3">
      <c r="A167" s="4" t="s">
        <v>544</v>
      </c>
      <c r="B167" s="4" t="s">
        <v>57</v>
      </c>
      <c r="C167" s="4" t="s">
        <v>93</v>
      </c>
      <c r="D167" s="4" t="s">
        <v>18</v>
      </c>
      <c r="E167" s="4">
        <v>50</v>
      </c>
      <c r="F167" s="4" t="s">
        <v>19</v>
      </c>
      <c r="G167" s="4" t="s">
        <v>29</v>
      </c>
      <c r="H167" s="4" t="s">
        <v>545</v>
      </c>
      <c r="I167" s="4">
        <v>116611</v>
      </c>
      <c r="J167" s="4" t="s">
        <v>68</v>
      </c>
      <c r="K167" s="4" t="s">
        <v>546</v>
      </c>
      <c r="L167" s="4" t="s">
        <v>39</v>
      </c>
      <c r="M167" s="5" t="str">
        <f>IF([1]Employees!$I167&gt;=90000, "High", "Low")</f>
        <v>High</v>
      </c>
      <c r="N167" s="6" t="str" cm="1">
        <f t="array" ref="N167">_xlfn.IFS([1]Employees!$I167&gt;=90000, "High", [1]Employees!$I167&gt;=50000, "Medium", [1]Employees!$I167&lt;50000, "Low")</f>
        <v>High</v>
      </c>
      <c r="O167" s="15" t="str">
        <f>IF([1]Employees!$I167&gt;=90000, "High", IF([1]Employees!$I167&gt;=50000, "Medium", "Low"))</f>
        <v>High</v>
      </c>
    </row>
    <row r="168" spans="1:15" x14ac:dyDescent="0.3">
      <c r="A168" s="4" t="s">
        <v>547</v>
      </c>
      <c r="B168" s="4" t="s">
        <v>41</v>
      </c>
      <c r="C168" s="4" t="s">
        <v>81</v>
      </c>
      <c r="D168" s="4" t="s">
        <v>27</v>
      </c>
      <c r="E168" s="4">
        <v>41</v>
      </c>
      <c r="F168" s="4" t="s">
        <v>42</v>
      </c>
      <c r="G168" s="4" t="s">
        <v>20</v>
      </c>
      <c r="H168" s="4" t="s">
        <v>548</v>
      </c>
      <c r="I168" s="4">
        <v>45748</v>
      </c>
      <c r="J168" s="4" t="s">
        <v>22</v>
      </c>
      <c r="K168" s="4" t="s">
        <v>549</v>
      </c>
      <c r="L168" s="4" t="s">
        <v>39</v>
      </c>
      <c r="M168" s="5" t="str">
        <f>IF([1]Employees!$I168&gt;=90000, "High", "Low")</f>
        <v>Low</v>
      </c>
      <c r="N168" s="6" t="str" cm="1">
        <f t="array" ref="N168">_xlfn.IFS([1]Employees!$I168&gt;=90000, "High", [1]Employees!$I168&gt;=50000, "Medium", [1]Employees!$I168&lt;50000, "Low")</f>
        <v>Low</v>
      </c>
      <c r="O168" s="15" t="str">
        <f>IF([1]Employees!$I168&gt;=90000, "High", IF([1]Employees!$I168&gt;=50000, "Medium", "Low"))</f>
        <v>Low</v>
      </c>
    </row>
    <row r="169" spans="1:15" x14ac:dyDescent="0.3">
      <c r="A169" s="4" t="s">
        <v>550</v>
      </c>
      <c r="B169" s="4" t="s">
        <v>57</v>
      </c>
      <c r="C169" s="4" t="s">
        <v>86</v>
      </c>
      <c r="D169" s="4" t="s">
        <v>27</v>
      </c>
      <c r="E169" s="4">
        <v>48</v>
      </c>
      <c r="F169" s="4" t="s">
        <v>42</v>
      </c>
      <c r="G169" s="4" t="s">
        <v>35</v>
      </c>
      <c r="H169" s="4" t="s">
        <v>551</v>
      </c>
      <c r="I169" s="4">
        <v>45767</v>
      </c>
      <c r="J169" s="4" t="s">
        <v>83</v>
      </c>
      <c r="K169" s="4" t="s">
        <v>552</v>
      </c>
      <c r="L169" s="4" t="s">
        <v>39</v>
      </c>
      <c r="M169" s="5" t="str">
        <f>IF([1]Employees!$I169&gt;=90000, "High", "Low")</f>
        <v>Low</v>
      </c>
      <c r="N169" s="6" t="str" cm="1">
        <f t="array" ref="N169">_xlfn.IFS([1]Employees!$I169&gt;=90000, "High", [1]Employees!$I169&gt;=50000, "Medium", [1]Employees!$I169&lt;50000, "Low")</f>
        <v>Low</v>
      </c>
      <c r="O169" s="15" t="str">
        <f>IF([1]Employees!$I169&gt;=90000, "High", IF([1]Employees!$I169&gt;=50000, "Medium", "Low"))</f>
        <v>Low</v>
      </c>
    </row>
    <row r="170" spans="1:15" x14ac:dyDescent="0.3">
      <c r="A170" s="4" t="s">
        <v>553</v>
      </c>
      <c r="B170" s="4" t="s">
        <v>61</v>
      </c>
      <c r="C170" s="4" t="s">
        <v>48</v>
      </c>
      <c r="D170" s="4" t="s">
        <v>27</v>
      </c>
      <c r="E170" s="4">
        <v>49</v>
      </c>
      <c r="F170" s="4" t="s">
        <v>53</v>
      </c>
      <c r="G170" s="4" t="s">
        <v>111</v>
      </c>
      <c r="H170" s="4" t="s">
        <v>554</v>
      </c>
      <c r="I170" s="4">
        <v>63927</v>
      </c>
      <c r="J170" s="4" t="s">
        <v>37</v>
      </c>
      <c r="K170" s="4" t="s">
        <v>555</v>
      </c>
      <c r="L170" s="4" t="s">
        <v>39</v>
      </c>
      <c r="M170" s="5" t="str">
        <f>IF([1]Employees!$I170&gt;=90000, "High", "Low")</f>
        <v>Low</v>
      </c>
      <c r="N170" s="6" t="str" cm="1">
        <f t="array" ref="N170">_xlfn.IFS([1]Employees!$I170&gt;=90000, "High", [1]Employees!$I170&gt;=50000, "Medium", [1]Employees!$I170&lt;50000, "Low")</f>
        <v>Medium</v>
      </c>
      <c r="O170" s="15" t="str">
        <f>IF([1]Employees!$I170&gt;=90000, "High", IF([1]Employees!$I170&gt;=50000, "Medium", "Low"))</f>
        <v>Medium</v>
      </c>
    </row>
    <row r="171" spans="1:15" x14ac:dyDescent="0.3">
      <c r="A171" s="4" t="s">
        <v>556</v>
      </c>
      <c r="B171" s="4" t="s">
        <v>74</v>
      </c>
      <c r="C171" s="4" t="s">
        <v>26</v>
      </c>
      <c r="D171" s="4" t="s">
        <v>27</v>
      </c>
      <c r="E171" s="4">
        <v>46</v>
      </c>
      <c r="F171" s="4" t="s">
        <v>19</v>
      </c>
      <c r="G171" s="4" t="s">
        <v>111</v>
      </c>
      <c r="H171" s="4" t="s">
        <v>557</v>
      </c>
      <c r="I171" s="4">
        <v>116657</v>
      </c>
      <c r="J171" s="4" t="s">
        <v>63</v>
      </c>
      <c r="K171" s="4" t="s">
        <v>558</v>
      </c>
      <c r="L171" s="4" t="s">
        <v>39</v>
      </c>
      <c r="M171" s="5" t="str">
        <f>IF([1]Employees!$I171&gt;=90000, "High", "Low")</f>
        <v>High</v>
      </c>
      <c r="N171" s="6" t="str" cm="1">
        <f t="array" ref="N171">_xlfn.IFS([1]Employees!$I171&gt;=90000, "High", [1]Employees!$I171&gt;=50000, "Medium", [1]Employees!$I171&lt;50000, "Low")</f>
        <v>High</v>
      </c>
      <c r="O171" s="15" t="str">
        <f>IF([1]Employees!$I171&gt;=90000, "High", IF([1]Employees!$I171&gt;=50000, "Medium", "Low"))</f>
        <v>High</v>
      </c>
    </row>
    <row r="172" spans="1:15" x14ac:dyDescent="0.3">
      <c r="A172" s="4" t="s">
        <v>559</v>
      </c>
      <c r="B172" s="4" t="s">
        <v>16</v>
      </c>
      <c r="C172" s="4" t="s">
        <v>93</v>
      </c>
      <c r="D172" s="4" t="s">
        <v>27</v>
      </c>
      <c r="E172" s="4">
        <v>49</v>
      </c>
      <c r="F172" s="4" t="s">
        <v>28</v>
      </c>
      <c r="G172" s="4" t="s">
        <v>29</v>
      </c>
      <c r="H172" s="4" t="s">
        <v>560</v>
      </c>
      <c r="I172" s="4">
        <v>35376</v>
      </c>
      <c r="J172" s="4" t="s">
        <v>37</v>
      </c>
      <c r="K172" s="4" t="s">
        <v>561</v>
      </c>
      <c r="L172" s="4" t="s">
        <v>39</v>
      </c>
      <c r="M172" s="5" t="str">
        <f>IF([1]Employees!$I172&gt;=90000, "High", "Low")</f>
        <v>Low</v>
      </c>
      <c r="N172" s="6" t="str" cm="1">
        <f t="array" ref="N172">_xlfn.IFS([1]Employees!$I172&gt;=90000, "High", [1]Employees!$I172&gt;=50000, "Medium", [1]Employees!$I172&lt;50000, "Low")</f>
        <v>Low</v>
      </c>
      <c r="O172" s="15" t="str">
        <f>IF([1]Employees!$I172&gt;=90000, "High", IF([1]Employees!$I172&gt;=50000, "Medium", "Low"))</f>
        <v>Low</v>
      </c>
    </row>
    <row r="173" spans="1:15" x14ac:dyDescent="0.3">
      <c r="A173" s="4" t="s">
        <v>562</v>
      </c>
      <c r="B173" s="4" t="s">
        <v>146</v>
      </c>
      <c r="C173" s="4" t="s">
        <v>66</v>
      </c>
      <c r="D173" s="4" t="s">
        <v>27</v>
      </c>
      <c r="E173" s="4">
        <v>44</v>
      </c>
      <c r="F173" s="4" t="s">
        <v>28</v>
      </c>
      <c r="G173" s="4" t="s">
        <v>111</v>
      </c>
      <c r="H173" s="4" t="s">
        <v>563</v>
      </c>
      <c r="I173" s="4">
        <v>37908</v>
      </c>
      <c r="J173" s="4" t="s">
        <v>68</v>
      </c>
      <c r="K173" s="4" t="s">
        <v>564</v>
      </c>
      <c r="L173" s="4" t="s">
        <v>24</v>
      </c>
      <c r="M173" s="5" t="str">
        <f>IF([1]Employees!$I173&gt;=90000, "High", "Low")</f>
        <v>Low</v>
      </c>
      <c r="N173" s="6" t="str" cm="1">
        <f t="array" ref="N173">_xlfn.IFS([1]Employees!$I173&gt;=90000, "High", [1]Employees!$I173&gt;=50000, "Medium", [1]Employees!$I173&lt;50000, "Low")</f>
        <v>Low</v>
      </c>
      <c r="O173" s="15" t="str">
        <f>IF([1]Employees!$I173&gt;=90000, "High", IF([1]Employees!$I173&gt;=50000, "Medium", "Low"))</f>
        <v>Low</v>
      </c>
    </row>
    <row r="174" spans="1:15" x14ac:dyDescent="0.3">
      <c r="A174" s="4" t="s">
        <v>565</v>
      </c>
      <c r="B174" s="4" t="s">
        <v>61</v>
      </c>
      <c r="C174" s="4" t="s">
        <v>66</v>
      </c>
      <c r="D174" s="4" t="s">
        <v>27</v>
      </c>
      <c r="E174" s="4">
        <v>59</v>
      </c>
      <c r="F174" s="4" t="s">
        <v>19</v>
      </c>
      <c r="G174" s="4" t="s">
        <v>20</v>
      </c>
      <c r="H174" s="4" t="s">
        <v>566</v>
      </c>
      <c r="I174" s="4">
        <v>106205</v>
      </c>
      <c r="J174" s="4" t="s">
        <v>37</v>
      </c>
      <c r="K174" s="4" t="s">
        <v>567</v>
      </c>
      <c r="L174" s="4" t="s">
        <v>24</v>
      </c>
      <c r="M174" s="5" t="str">
        <f>IF([1]Employees!$I174&gt;=90000, "High", "Low")</f>
        <v>High</v>
      </c>
      <c r="N174" s="6" t="str" cm="1">
        <f t="array" ref="N174">_xlfn.IFS([1]Employees!$I174&gt;=90000, "High", [1]Employees!$I174&gt;=50000, "Medium", [1]Employees!$I174&lt;50000, "Low")</f>
        <v>High</v>
      </c>
      <c r="O174" s="15" t="str">
        <f>IF([1]Employees!$I174&gt;=90000, "High", IF([1]Employees!$I174&gt;=50000, "Medium", "Low"))</f>
        <v>High</v>
      </c>
    </row>
    <row r="175" spans="1:15" x14ac:dyDescent="0.3">
      <c r="A175" s="4" t="s">
        <v>568</v>
      </c>
      <c r="B175" s="4" t="s">
        <v>97</v>
      </c>
      <c r="C175" s="4" t="s">
        <v>133</v>
      </c>
      <c r="D175" s="4" t="s">
        <v>18</v>
      </c>
      <c r="E175" s="4">
        <v>29</v>
      </c>
      <c r="F175" s="4" t="s">
        <v>42</v>
      </c>
      <c r="G175" s="4" t="s">
        <v>111</v>
      </c>
      <c r="H175" s="4" t="s">
        <v>569</v>
      </c>
      <c r="I175" s="4">
        <v>101504</v>
      </c>
      <c r="J175" s="4" t="s">
        <v>83</v>
      </c>
      <c r="K175" s="4" t="s">
        <v>570</v>
      </c>
      <c r="L175" s="4" t="s">
        <v>24</v>
      </c>
      <c r="M175" s="5" t="str">
        <f>IF([1]Employees!$I175&gt;=90000, "High", "Low")</f>
        <v>High</v>
      </c>
      <c r="N175" s="6" t="str" cm="1">
        <f t="array" ref="N175">_xlfn.IFS([1]Employees!$I175&gt;=90000, "High", [1]Employees!$I175&gt;=50000, "Medium", [1]Employees!$I175&lt;50000, "Low")</f>
        <v>High</v>
      </c>
      <c r="O175" s="15" t="str">
        <f>IF([1]Employees!$I175&gt;=90000, "High", IF([1]Employees!$I175&gt;=50000, "Medium", "Low"))</f>
        <v>High</v>
      </c>
    </row>
    <row r="176" spans="1:15" x14ac:dyDescent="0.3">
      <c r="A176" s="4" t="s">
        <v>571</v>
      </c>
      <c r="B176" s="4" t="s">
        <v>57</v>
      </c>
      <c r="C176" s="4" t="s">
        <v>66</v>
      </c>
      <c r="D176" s="4" t="s">
        <v>18</v>
      </c>
      <c r="E176" s="4">
        <v>48</v>
      </c>
      <c r="F176" s="4" t="s">
        <v>19</v>
      </c>
      <c r="G176" s="4" t="s">
        <v>111</v>
      </c>
      <c r="H176" s="4" t="s">
        <v>572</v>
      </c>
      <c r="I176" s="4">
        <v>36710</v>
      </c>
      <c r="J176" s="4" t="s">
        <v>37</v>
      </c>
      <c r="K176" s="4" t="s">
        <v>573</v>
      </c>
      <c r="L176" s="4" t="s">
        <v>24</v>
      </c>
      <c r="M176" s="5" t="str">
        <f>IF([1]Employees!$I176&gt;=90000, "High", "Low")</f>
        <v>Low</v>
      </c>
      <c r="N176" s="6" t="str" cm="1">
        <f t="array" ref="N176">_xlfn.IFS([1]Employees!$I176&gt;=90000, "High", [1]Employees!$I176&gt;=50000, "Medium", [1]Employees!$I176&lt;50000, "Low")</f>
        <v>Low</v>
      </c>
      <c r="O176" s="15" t="str">
        <f>IF([1]Employees!$I176&gt;=90000, "High", IF([1]Employees!$I176&gt;=50000, "Medium", "Low"))</f>
        <v>Low</v>
      </c>
    </row>
    <row r="177" spans="1:15" x14ac:dyDescent="0.3">
      <c r="A177" s="4" t="s">
        <v>574</v>
      </c>
      <c r="B177" s="4" t="s">
        <v>146</v>
      </c>
      <c r="C177" s="4" t="s">
        <v>86</v>
      </c>
      <c r="D177" s="4" t="s">
        <v>18</v>
      </c>
      <c r="E177" s="4">
        <v>58</v>
      </c>
      <c r="F177" s="4" t="s">
        <v>19</v>
      </c>
      <c r="G177" s="4" t="s">
        <v>35</v>
      </c>
      <c r="H177" s="4" t="s">
        <v>575</v>
      </c>
      <c r="I177" s="4">
        <v>78149</v>
      </c>
      <c r="J177" s="4" t="s">
        <v>22</v>
      </c>
      <c r="K177" s="4" t="s">
        <v>576</v>
      </c>
      <c r="L177" s="4" t="s">
        <v>39</v>
      </c>
      <c r="M177" s="5" t="str">
        <f>IF([1]Employees!$I177&gt;=90000, "High", "Low")</f>
        <v>Low</v>
      </c>
      <c r="N177" s="6" t="str" cm="1">
        <f t="array" ref="N177">_xlfn.IFS([1]Employees!$I177&gt;=90000, "High", [1]Employees!$I177&gt;=50000, "Medium", [1]Employees!$I177&lt;50000, "Low")</f>
        <v>Medium</v>
      </c>
      <c r="O177" s="15" t="str">
        <f>IF([1]Employees!$I177&gt;=90000, "High", IF([1]Employees!$I177&gt;=50000, "Medium", "Low"))</f>
        <v>Medium</v>
      </c>
    </row>
    <row r="178" spans="1:15" x14ac:dyDescent="0.3">
      <c r="A178" s="4" t="s">
        <v>577</v>
      </c>
      <c r="B178" s="4" t="s">
        <v>57</v>
      </c>
      <c r="C178" s="4" t="s">
        <v>93</v>
      </c>
      <c r="D178" s="4" t="s">
        <v>18</v>
      </c>
      <c r="E178" s="4">
        <v>57</v>
      </c>
      <c r="F178" s="4" t="s">
        <v>34</v>
      </c>
      <c r="G178" s="4" t="s">
        <v>35</v>
      </c>
      <c r="H178" s="4" t="s">
        <v>578</v>
      </c>
      <c r="I178" s="4">
        <v>93998</v>
      </c>
      <c r="J178" s="4" t="s">
        <v>22</v>
      </c>
      <c r="K178" s="4" t="s">
        <v>579</v>
      </c>
      <c r="L178" s="4" t="s">
        <v>39</v>
      </c>
      <c r="M178" s="5" t="str">
        <f>IF([1]Employees!$I178&gt;=90000, "High", "Low")</f>
        <v>High</v>
      </c>
      <c r="N178" s="6" t="str" cm="1">
        <f t="array" ref="N178">_xlfn.IFS([1]Employees!$I178&gt;=90000, "High", [1]Employees!$I178&gt;=50000, "Medium", [1]Employees!$I178&lt;50000, "Low")</f>
        <v>High</v>
      </c>
      <c r="O178" s="15" t="str">
        <f>IF([1]Employees!$I178&gt;=90000, "High", IF([1]Employees!$I178&gt;=50000, "Medium", "Low"))</f>
        <v>High</v>
      </c>
    </row>
    <row r="179" spans="1:15" x14ac:dyDescent="0.3">
      <c r="A179" s="4" t="s">
        <v>580</v>
      </c>
      <c r="B179" s="4" t="s">
        <v>61</v>
      </c>
      <c r="C179" s="4" t="s">
        <v>81</v>
      </c>
      <c r="D179" s="4" t="s">
        <v>27</v>
      </c>
      <c r="E179" s="4">
        <v>50</v>
      </c>
      <c r="F179" s="4" t="s">
        <v>19</v>
      </c>
      <c r="G179" s="4" t="s">
        <v>43</v>
      </c>
      <c r="H179" s="4" t="s">
        <v>581</v>
      </c>
      <c r="I179" s="4">
        <v>47599</v>
      </c>
      <c r="J179" s="4" t="s">
        <v>83</v>
      </c>
      <c r="K179" s="4" t="s">
        <v>582</v>
      </c>
      <c r="L179" s="4" t="s">
        <v>24</v>
      </c>
      <c r="M179" s="5" t="str">
        <f>IF([1]Employees!$I179&gt;=90000, "High", "Low")</f>
        <v>Low</v>
      </c>
      <c r="N179" s="6" t="str" cm="1">
        <f t="array" ref="N179">_xlfn.IFS([1]Employees!$I179&gt;=90000, "High", [1]Employees!$I179&gt;=50000, "Medium", [1]Employees!$I179&lt;50000, "Low")</f>
        <v>Low</v>
      </c>
      <c r="O179" s="15" t="str">
        <f>IF([1]Employees!$I179&gt;=90000, "High", IF([1]Employees!$I179&gt;=50000, "Medium", "Low"))</f>
        <v>Low</v>
      </c>
    </row>
    <row r="180" spans="1:15" x14ac:dyDescent="0.3">
      <c r="A180" s="4" t="s">
        <v>583</v>
      </c>
      <c r="B180" s="4" t="s">
        <v>57</v>
      </c>
      <c r="C180" s="4" t="s">
        <v>48</v>
      </c>
      <c r="D180" s="4" t="s">
        <v>18</v>
      </c>
      <c r="E180" s="4">
        <v>32</v>
      </c>
      <c r="F180" s="4" t="s">
        <v>53</v>
      </c>
      <c r="G180" s="4" t="s">
        <v>29</v>
      </c>
      <c r="H180" s="4" t="s">
        <v>584</v>
      </c>
      <c r="I180" s="4">
        <v>82412</v>
      </c>
      <c r="J180" s="4" t="s">
        <v>68</v>
      </c>
      <c r="K180" s="4" t="s">
        <v>585</v>
      </c>
      <c r="L180" s="4" t="s">
        <v>39</v>
      </c>
      <c r="M180" s="5" t="str">
        <f>IF([1]Employees!$I180&gt;=90000, "High", "Low")</f>
        <v>Low</v>
      </c>
      <c r="N180" s="6" t="str" cm="1">
        <f t="array" ref="N180">_xlfn.IFS([1]Employees!$I180&gt;=90000, "High", [1]Employees!$I180&gt;=50000, "Medium", [1]Employees!$I180&lt;50000, "Low")</f>
        <v>Medium</v>
      </c>
      <c r="O180" s="15" t="str">
        <f>IF([1]Employees!$I180&gt;=90000, "High", IF([1]Employees!$I180&gt;=50000, "Medium", "Low"))</f>
        <v>Medium</v>
      </c>
    </row>
    <row r="181" spans="1:15" x14ac:dyDescent="0.3">
      <c r="A181" s="4" t="s">
        <v>586</v>
      </c>
      <c r="B181" s="4" t="s">
        <v>33</v>
      </c>
      <c r="C181" s="4" t="s">
        <v>81</v>
      </c>
      <c r="D181" s="4" t="s">
        <v>27</v>
      </c>
      <c r="E181" s="4">
        <v>52</v>
      </c>
      <c r="F181" s="4" t="s">
        <v>34</v>
      </c>
      <c r="G181" s="4" t="s">
        <v>20</v>
      </c>
      <c r="H181" s="4" t="s">
        <v>587</v>
      </c>
      <c r="I181" s="4">
        <v>82496</v>
      </c>
      <c r="J181" s="4" t="s">
        <v>68</v>
      </c>
      <c r="K181" s="4" t="s">
        <v>588</v>
      </c>
      <c r="L181" s="4" t="s">
        <v>24</v>
      </c>
      <c r="M181" s="5" t="str">
        <f>IF([1]Employees!$I181&gt;=90000, "High", "Low")</f>
        <v>Low</v>
      </c>
      <c r="N181" s="6" t="str" cm="1">
        <f t="array" ref="N181">_xlfn.IFS([1]Employees!$I181&gt;=90000, "High", [1]Employees!$I181&gt;=50000, "Medium", [1]Employees!$I181&lt;50000, "Low")</f>
        <v>Medium</v>
      </c>
      <c r="O181" s="15" t="str">
        <f>IF([1]Employees!$I181&gt;=90000, "High", IF([1]Employees!$I181&gt;=50000, "Medium", "Low"))</f>
        <v>Medium</v>
      </c>
    </row>
    <row r="182" spans="1:15" x14ac:dyDescent="0.3">
      <c r="A182" s="4" t="s">
        <v>589</v>
      </c>
      <c r="B182" s="4" t="s">
        <v>52</v>
      </c>
      <c r="C182" s="4" t="s">
        <v>133</v>
      </c>
      <c r="D182" s="4" t="s">
        <v>18</v>
      </c>
      <c r="E182" s="4">
        <v>60</v>
      </c>
      <c r="F182" s="4" t="s">
        <v>34</v>
      </c>
      <c r="G182" s="4" t="s">
        <v>29</v>
      </c>
      <c r="H182" s="4" t="s">
        <v>590</v>
      </c>
      <c r="I182" s="4">
        <v>51231</v>
      </c>
      <c r="J182" s="4" t="s">
        <v>68</v>
      </c>
      <c r="K182" s="4" t="s">
        <v>591</v>
      </c>
      <c r="L182" s="4" t="s">
        <v>39</v>
      </c>
      <c r="M182" s="5" t="str">
        <f>IF([1]Employees!$I182&gt;=90000, "High", "Low")</f>
        <v>Low</v>
      </c>
      <c r="N182" s="6" t="str" cm="1">
        <f t="array" ref="N182">_xlfn.IFS([1]Employees!$I182&gt;=90000, "High", [1]Employees!$I182&gt;=50000, "Medium", [1]Employees!$I182&lt;50000, "Low")</f>
        <v>Medium</v>
      </c>
      <c r="O182" s="15" t="str">
        <f>IF([1]Employees!$I182&gt;=90000, "High", IF([1]Employees!$I182&gt;=50000, "Medium", "Low"))</f>
        <v>Medium</v>
      </c>
    </row>
    <row r="183" spans="1:15" x14ac:dyDescent="0.3">
      <c r="A183" s="4" t="s">
        <v>592</v>
      </c>
      <c r="B183" s="4" t="s">
        <v>146</v>
      </c>
      <c r="C183" s="4" t="s">
        <v>17</v>
      </c>
      <c r="D183" s="4" t="s">
        <v>18</v>
      </c>
      <c r="E183" s="4">
        <v>48</v>
      </c>
      <c r="F183" s="4" t="s">
        <v>53</v>
      </c>
      <c r="G183" s="4" t="s">
        <v>29</v>
      </c>
      <c r="H183" s="4" t="s">
        <v>593</v>
      </c>
      <c r="I183" s="4">
        <v>119053</v>
      </c>
      <c r="J183" s="4" t="s">
        <v>22</v>
      </c>
      <c r="K183" s="4" t="s">
        <v>594</v>
      </c>
      <c r="L183" s="4" t="s">
        <v>24</v>
      </c>
      <c r="M183" s="5" t="str">
        <f>IF([1]Employees!$I183&gt;=90000, "High", "Low")</f>
        <v>High</v>
      </c>
      <c r="N183" s="6" t="str" cm="1">
        <f t="array" ref="N183">_xlfn.IFS([1]Employees!$I183&gt;=90000, "High", [1]Employees!$I183&gt;=50000, "Medium", [1]Employees!$I183&lt;50000, "Low")</f>
        <v>High</v>
      </c>
      <c r="O183" s="15" t="str">
        <f>IF([1]Employees!$I183&gt;=90000, "High", IF([1]Employees!$I183&gt;=50000, "Medium", "Low"))</f>
        <v>High</v>
      </c>
    </row>
    <row r="184" spans="1:15" x14ac:dyDescent="0.3">
      <c r="A184" s="4" t="s">
        <v>595</v>
      </c>
      <c r="B184" s="4" t="s">
        <v>74</v>
      </c>
      <c r="C184" s="4" t="s">
        <v>86</v>
      </c>
      <c r="D184" s="4" t="s">
        <v>27</v>
      </c>
      <c r="E184" s="4">
        <v>60</v>
      </c>
      <c r="F184" s="4" t="s">
        <v>34</v>
      </c>
      <c r="G184" s="4" t="s">
        <v>20</v>
      </c>
      <c r="H184" s="4" t="s">
        <v>596</v>
      </c>
      <c r="I184" s="4">
        <v>111243</v>
      </c>
      <c r="J184" s="4" t="s">
        <v>22</v>
      </c>
      <c r="K184" s="4" t="s">
        <v>597</v>
      </c>
      <c r="L184" s="4" t="s">
        <v>24</v>
      </c>
      <c r="M184" s="5" t="str">
        <f>IF([1]Employees!$I184&gt;=90000, "High", "Low")</f>
        <v>High</v>
      </c>
      <c r="N184" s="6" t="str" cm="1">
        <f t="array" ref="N184">_xlfn.IFS([1]Employees!$I184&gt;=90000, "High", [1]Employees!$I184&gt;=50000, "Medium", [1]Employees!$I184&lt;50000, "Low")</f>
        <v>High</v>
      </c>
      <c r="O184" s="15" t="str">
        <f>IF([1]Employees!$I184&gt;=90000, "High", IF([1]Employees!$I184&gt;=50000, "Medium", "Low"))</f>
        <v>High</v>
      </c>
    </row>
    <row r="185" spans="1:15" x14ac:dyDescent="0.3">
      <c r="A185" s="4" t="s">
        <v>598</v>
      </c>
      <c r="B185" s="4" t="s">
        <v>146</v>
      </c>
      <c r="C185" s="4" t="s">
        <v>66</v>
      </c>
      <c r="D185" s="4" t="s">
        <v>18</v>
      </c>
      <c r="E185" s="4">
        <v>55</v>
      </c>
      <c r="F185" s="4" t="s">
        <v>28</v>
      </c>
      <c r="G185" s="4" t="s">
        <v>20</v>
      </c>
      <c r="H185" s="4" t="s">
        <v>599</v>
      </c>
      <c r="I185" s="4">
        <v>73063</v>
      </c>
      <c r="J185" s="4" t="s">
        <v>83</v>
      </c>
      <c r="K185" s="4" t="s">
        <v>600</v>
      </c>
      <c r="L185" s="4" t="s">
        <v>24</v>
      </c>
      <c r="M185" s="5" t="str">
        <f>IF([1]Employees!$I185&gt;=90000, "High", "Low")</f>
        <v>Low</v>
      </c>
      <c r="N185" s="6" t="str" cm="1">
        <f t="array" ref="N185">_xlfn.IFS([1]Employees!$I185&gt;=90000, "High", [1]Employees!$I185&gt;=50000, "Medium", [1]Employees!$I185&lt;50000, "Low")</f>
        <v>Medium</v>
      </c>
      <c r="O185" s="15" t="str">
        <f>IF([1]Employees!$I185&gt;=90000, "High", IF([1]Employees!$I185&gt;=50000, "Medium", "Low"))</f>
        <v>Medium</v>
      </c>
    </row>
    <row r="186" spans="1:15" x14ac:dyDescent="0.3">
      <c r="A186" s="4" t="s">
        <v>601</v>
      </c>
      <c r="B186" s="4" t="s">
        <v>146</v>
      </c>
      <c r="C186" s="4" t="s">
        <v>48</v>
      </c>
      <c r="D186" s="4" t="s">
        <v>27</v>
      </c>
      <c r="E186" s="4">
        <v>35</v>
      </c>
      <c r="F186" s="4" t="s">
        <v>42</v>
      </c>
      <c r="G186" s="4" t="s">
        <v>20</v>
      </c>
      <c r="H186" s="4" t="s">
        <v>430</v>
      </c>
      <c r="I186" s="4">
        <v>71247</v>
      </c>
      <c r="J186" s="4" t="s">
        <v>22</v>
      </c>
      <c r="K186" s="4" t="s">
        <v>602</v>
      </c>
      <c r="L186" s="4" t="s">
        <v>39</v>
      </c>
      <c r="M186" s="5" t="str">
        <f>IF([1]Employees!$I186&gt;=90000, "High", "Low")</f>
        <v>Low</v>
      </c>
      <c r="N186" s="6" t="str" cm="1">
        <f t="array" ref="N186">_xlfn.IFS([1]Employees!$I186&gt;=90000, "High", [1]Employees!$I186&gt;=50000, "Medium", [1]Employees!$I186&lt;50000, "Low")</f>
        <v>Medium</v>
      </c>
      <c r="O186" s="15" t="str">
        <f>IF([1]Employees!$I186&gt;=90000, "High", IF([1]Employees!$I186&gt;=50000, "Medium", "Low"))</f>
        <v>Medium</v>
      </c>
    </row>
    <row r="187" spans="1:15" x14ac:dyDescent="0.3">
      <c r="A187" s="4" t="s">
        <v>603</v>
      </c>
      <c r="B187" s="4" t="s">
        <v>41</v>
      </c>
      <c r="C187" s="4" t="s">
        <v>133</v>
      </c>
      <c r="D187" s="4" t="s">
        <v>27</v>
      </c>
      <c r="E187" s="4">
        <v>41</v>
      </c>
      <c r="F187" s="4" t="s">
        <v>34</v>
      </c>
      <c r="G187" s="4" t="s">
        <v>29</v>
      </c>
      <c r="H187" s="4" t="s">
        <v>604</v>
      </c>
      <c r="I187" s="4">
        <v>67422</v>
      </c>
      <c r="J187" s="4" t="s">
        <v>68</v>
      </c>
      <c r="K187" s="4" t="s">
        <v>605</v>
      </c>
      <c r="L187" s="4" t="s">
        <v>39</v>
      </c>
      <c r="M187" s="5" t="str">
        <f>IF([1]Employees!$I187&gt;=90000, "High", "Low")</f>
        <v>Low</v>
      </c>
      <c r="N187" s="6" t="str" cm="1">
        <f t="array" ref="N187">_xlfn.IFS([1]Employees!$I187&gt;=90000, "High", [1]Employees!$I187&gt;=50000, "Medium", [1]Employees!$I187&lt;50000, "Low")</f>
        <v>Medium</v>
      </c>
      <c r="O187" s="15" t="str">
        <f>IF([1]Employees!$I187&gt;=90000, "High", IF([1]Employees!$I187&gt;=50000, "Medium", "Low"))</f>
        <v>Medium</v>
      </c>
    </row>
    <row r="188" spans="1:15" x14ac:dyDescent="0.3">
      <c r="A188" s="4" t="s">
        <v>606</v>
      </c>
      <c r="B188" s="4" t="s">
        <v>33</v>
      </c>
      <c r="C188" s="4" t="s">
        <v>66</v>
      </c>
      <c r="D188" s="4" t="s">
        <v>18</v>
      </c>
      <c r="E188" s="4">
        <v>26</v>
      </c>
      <c r="F188" s="4" t="s">
        <v>28</v>
      </c>
      <c r="G188" s="4" t="s">
        <v>35</v>
      </c>
      <c r="H188" s="4" t="s">
        <v>204</v>
      </c>
      <c r="I188" s="4">
        <v>110628</v>
      </c>
      <c r="J188" s="4" t="s">
        <v>68</v>
      </c>
      <c r="K188" s="4" t="s">
        <v>607</v>
      </c>
      <c r="L188" s="4" t="s">
        <v>39</v>
      </c>
      <c r="M188" s="5" t="str">
        <f>IF([1]Employees!$I188&gt;=90000, "High", "Low")</f>
        <v>High</v>
      </c>
      <c r="N188" s="6" t="str" cm="1">
        <f t="array" ref="N188">_xlfn.IFS([1]Employees!$I188&gt;=90000, "High", [1]Employees!$I188&gt;=50000, "Medium", [1]Employees!$I188&lt;50000, "Low")</f>
        <v>High</v>
      </c>
      <c r="O188" s="15" t="str">
        <f>IF([1]Employees!$I188&gt;=90000, "High", IF([1]Employees!$I188&gt;=50000, "Medium", "Low"))</f>
        <v>High</v>
      </c>
    </row>
    <row r="189" spans="1:15" x14ac:dyDescent="0.3">
      <c r="A189" s="4" t="s">
        <v>608</v>
      </c>
      <c r="B189" s="4" t="s">
        <v>52</v>
      </c>
      <c r="C189" s="4" t="s">
        <v>168</v>
      </c>
      <c r="D189" s="4" t="s">
        <v>18</v>
      </c>
      <c r="E189" s="4">
        <v>48</v>
      </c>
      <c r="F189" s="4" t="s">
        <v>42</v>
      </c>
      <c r="G189" s="4" t="s">
        <v>20</v>
      </c>
      <c r="H189" s="4" t="s">
        <v>609</v>
      </c>
      <c r="I189" s="4">
        <v>96540</v>
      </c>
      <c r="J189" s="4" t="s">
        <v>37</v>
      </c>
      <c r="K189" s="4" t="s">
        <v>610</v>
      </c>
      <c r="L189" s="4" t="s">
        <v>39</v>
      </c>
      <c r="M189" s="5" t="str">
        <f>IF([1]Employees!$I189&gt;=90000, "High", "Low")</f>
        <v>High</v>
      </c>
      <c r="N189" s="6" t="str" cm="1">
        <f t="array" ref="N189">_xlfn.IFS([1]Employees!$I189&gt;=90000, "High", [1]Employees!$I189&gt;=50000, "Medium", [1]Employees!$I189&lt;50000, "Low")</f>
        <v>High</v>
      </c>
      <c r="O189" s="15" t="str">
        <f>IF([1]Employees!$I189&gt;=90000, "High", IF([1]Employees!$I189&gt;=50000, "Medium", "Low"))</f>
        <v>High</v>
      </c>
    </row>
    <row r="190" spans="1:15" x14ac:dyDescent="0.3">
      <c r="A190" s="4" t="s">
        <v>611</v>
      </c>
      <c r="B190" s="4" t="s">
        <v>57</v>
      </c>
      <c r="C190" s="4" t="s">
        <v>81</v>
      </c>
      <c r="D190" s="4" t="s">
        <v>18</v>
      </c>
      <c r="E190" s="4">
        <v>49</v>
      </c>
      <c r="F190" s="4" t="s">
        <v>42</v>
      </c>
      <c r="G190" s="4" t="s">
        <v>20</v>
      </c>
      <c r="H190" s="4" t="s">
        <v>612</v>
      </c>
      <c r="I190" s="4">
        <v>76991</v>
      </c>
      <c r="J190" s="4" t="s">
        <v>63</v>
      </c>
      <c r="K190" s="4" t="s">
        <v>613</v>
      </c>
      <c r="L190" s="4" t="s">
        <v>24</v>
      </c>
      <c r="M190" s="5" t="str">
        <f>IF([1]Employees!$I190&gt;=90000, "High", "Low")</f>
        <v>Low</v>
      </c>
      <c r="N190" s="6" t="str" cm="1">
        <f t="array" ref="N190">_xlfn.IFS([1]Employees!$I190&gt;=90000, "High", [1]Employees!$I190&gt;=50000, "Medium", [1]Employees!$I190&lt;50000, "Low")</f>
        <v>Medium</v>
      </c>
      <c r="O190" s="15" t="str">
        <f>IF([1]Employees!$I190&gt;=90000, "High", IF([1]Employees!$I190&gt;=50000, "Medium", "Low"))</f>
        <v>Medium</v>
      </c>
    </row>
    <row r="191" spans="1:15" x14ac:dyDescent="0.3">
      <c r="A191" s="4" t="s">
        <v>614</v>
      </c>
      <c r="B191" s="4" t="s">
        <v>61</v>
      </c>
      <c r="C191" s="4" t="s">
        <v>133</v>
      </c>
      <c r="D191" s="4" t="s">
        <v>27</v>
      </c>
      <c r="E191" s="4">
        <v>26</v>
      </c>
      <c r="F191" s="4" t="s">
        <v>34</v>
      </c>
      <c r="G191" s="4" t="s">
        <v>20</v>
      </c>
      <c r="H191" s="4" t="s">
        <v>615</v>
      </c>
      <c r="I191" s="4">
        <v>92562</v>
      </c>
      <c r="J191" s="4" t="s">
        <v>37</v>
      </c>
      <c r="K191" s="4" t="s">
        <v>616</v>
      </c>
      <c r="L191" s="4" t="s">
        <v>39</v>
      </c>
      <c r="M191" s="5" t="str">
        <f>IF([1]Employees!$I191&gt;=90000, "High", "Low")</f>
        <v>High</v>
      </c>
      <c r="N191" s="6" t="str" cm="1">
        <f t="array" ref="N191">_xlfn.IFS([1]Employees!$I191&gt;=90000, "High", [1]Employees!$I191&gt;=50000, "Medium", [1]Employees!$I191&lt;50000, "Low")</f>
        <v>High</v>
      </c>
      <c r="O191" s="15" t="str">
        <f>IF([1]Employees!$I191&gt;=90000, "High", IF([1]Employees!$I191&gt;=50000, "Medium", "Low"))</f>
        <v>High</v>
      </c>
    </row>
    <row r="192" spans="1:15" x14ac:dyDescent="0.3">
      <c r="A192" s="4" t="s">
        <v>617</v>
      </c>
      <c r="B192" s="4" t="s">
        <v>146</v>
      </c>
      <c r="C192" s="4" t="s">
        <v>168</v>
      </c>
      <c r="D192" s="4" t="s">
        <v>18</v>
      </c>
      <c r="E192" s="4">
        <v>51</v>
      </c>
      <c r="F192" s="4" t="s">
        <v>34</v>
      </c>
      <c r="G192" s="4" t="s">
        <v>43</v>
      </c>
      <c r="H192" s="4" t="s">
        <v>618</v>
      </c>
      <c r="I192" s="4">
        <v>102983</v>
      </c>
      <c r="J192" s="4" t="s">
        <v>37</v>
      </c>
      <c r="K192" s="4" t="s">
        <v>619</v>
      </c>
      <c r="L192" s="4" t="s">
        <v>39</v>
      </c>
      <c r="M192" s="5" t="str">
        <f>IF([1]Employees!$I192&gt;=90000, "High", "Low")</f>
        <v>High</v>
      </c>
      <c r="N192" s="6" t="str" cm="1">
        <f t="array" ref="N192">_xlfn.IFS([1]Employees!$I192&gt;=90000, "High", [1]Employees!$I192&gt;=50000, "Medium", [1]Employees!$I192&lt;50000, "Low")</f>
        <v>High</v>
      </c>
      <c r="O192" s="15" t="str">
        <f>IF([1]Employees!$I192&gt;=90000, "High", IF([1]Employees!$I192&gt;=50000, "Medium", "Low"))</f>
        <v>High</v>
      </c>
    </row>
    <row r="193" spans="1:15" x14ac:dyDescent="0.3">
      <c r="A193" s="4" t="s">
        <v>620</v>
      </c>
      <c r="B193" s="4" t="s">
        <v>146</v>
      </c>
      <c r="C193" s="4" t="s">
        <v>98</v>
      </c>
      <c r="D193" s="4" t="s">
        <v>27</v>
      </c>
      <c r="E193" s="4">
        <v>23</v>
      </c>
      <c r="F193" s="4" t="s">
        <v>19</v>
      </c>
      <c r="G193" s="4" t="s">
        <v>35</v>
      </c>
      <c r="H193" s="4" t="s">
        <v>621</v>
      </c>
      <c r="I193" s="4">
        <v>114420</v>
      </c>
      <c r="J193" s="4" t="s">
        <v>22</v>
      </c>
      <c r="K193" s="4" t="s">
        <v>622</v>
      </c>
      <c r="L193" s="4" t="s">
        <v>24</v>
      </c>
      <c r="M193" s="5" t="str">
        <f>IF([1]Employees!$I193&gt;=90000, "High", "Low")</f>
        <v>High</v>
      </c>
      <c r="N193" s="6" t="str" cm="1">
        <f t="array" ref="N193">_xlfn.IFS([1]Employees!$I193&gt;=90000, "High", [1]Employees!$I193&gt;=50000, "Medium", [1]Employees!$I193&lt;50000, "Low")</f>
        <v>High</v>
      </c>
      <c r="O193" s="15" t="str">
        <f>IF([1]Employees!$I193&gt;=90000, "High", IF([1]Employees!$I193&gt;=50000, "Medium", "Low"))</f>
        <v>High</v>
      </c>
    </row>
    <row r="194" spans="1:15" x14ac:dyDescent="0.3">
      <c r="A194" s="4" t="s">
        <v>623</v>
      </c>
      <c r="B194" s="4" t="s">
        <v>33</v>
      </c>
      <c r="C194" s="4" t="s">
        <v>168</v>
      </c>
      <c r="D194" s="4" t="s">
        <v>18</v>
      </c>
      <c r="E194" s="4">
        <v>58</v>
      </c>
      <c r="F194" s="4" t="s">
        <v>53</v>
      </c>
      <c r="G194" s="4" t="s">
        <v>35</v>
      </c>
      <c r="H194" s="4" t="s">
        <v>624</v>
      </c>
      <c r="I194" s="4">
        <v>108419</v>
      </c>
      <c r="J194" s="4" t="s">
        <v>63</v>
      </c>
      <c r="K194" s="4" t="s">
        <v>625</v>
      </c>
      <c r="L194" s="4" t="s">
        <v>24</v>
      </c>
      <c r="M194" s="5" t="str">
        <f>IF([1]Employees!$I194&gt;=90000, "High", "Low")</f>
        <v>High</v>
      </c>
      <c r="N194" s="6" t="str" cm="1">
        <f t="array" ref="N194">_xlfn.IFS([1]Employees!$I194&gt;=90000, "High", [1]Employees!$I194&gt;=50000, "Medium", [1]Employees!$I194&lt;50000, "Low")</f>
        <v>High</v>
      </c>
      <c r="O194" s="15" t="str">
        <f>IF([1]Employees!$I194&gt;=90000, "High", IF([1]Employees!$I194&gt;=50000, "Medium", "Low"))</f>
        <v>High</v>
      </c>
    </row>
    <row r="195" spans="1:15" x14ac:dyDescent="0.3">
      <c r="A195" s="4" t="s">
        <v>626</v>
      </c>
      <c r="B195" s="4" t="s">
        <v>97</v>
      </c>
      <c r="C195" s="4" t="s">
        <v>48</v>
      </c>
      <c r="D195" s="4" t="s">
        <v>27</v>
      </c>
      <c r="E195" s="4">
        <v>54</v>
      </c>
      <c r="F195" s="4" t="s">
        <v>34</v>
      </c>
      <c r="G195" s="4" t="s">
        <v>111</v>
      </c>
      <c r="H195" s="4" t="s">
        <v>627</v>
      </c>
      <c r="I195" s="4">
        <v>100498</v>
      </c>
      <c r="J195" s="4" t="s">
        <v>68</v>
      </c>
      <c r="K195" s="4" t="s">
        <v>628</v>
      </c>
      <c r="L195" s="4" t="s">
        <v>39</v>
      </c>
      <c r="M195" s="5" t="str">
        <f>IF([1]Employees!$I195&gt;=90000, "High", "Low")</f>
        <v>High</v>
      </c>
      <c r="N195" s="6" t="str" cm="1">
        <f t="array" ref="N195">_xlfn.IFS([1]Employees!$I195&gt;=90000, "High", [1]Employees!$I195&gt;=50000, "Medium", [1]Employees!$I195&lt;50000, "Low")</f>
        <v>High</v>
      </c>
      <c r="O195" s="15" t="str">
        <f>IF([1]Employees!$I195&gt;=90000, "High", IF([1]Employees!$I195&gt;=50000, "Medium", "Low"))</f>
        <v>High</v>
      </c>
    </row>
    <row r="196" spans="1:15" x14ac:dyDescent="0.3">
      <c r="A196" s="4" t="s">
        <v>629</v>
      </c>
      <c r="B196" s="4" t="s">
        <v>16</v>
      </c>
      <c r="C196" s="4" t="s">
        <v>168</v>
      </c>
      <c r="D196" s="4" t="s">
        <v>27</v>
      </c>
      <c r="E196" s="4">
        <v>48</v>
      </c>
      <c r="F196" s="4" t="s">
        <v>28</v>
      </c>
      <c r="G196" s="4" t="s">
        <v>20</v>
      </c>
      <c r="H196" s="4" t="s">
        <v>630</v>
      </c>
      <c r="I196" s="4">
        <v>62004</v>
      </c>
      <c r="J196" s="4" t="s">
        <v>68</v>
      </c>
      <c r="K196" s="4" t="s">
        <v>631</v>
      </c>
      <c r="L196" s="4" t="s">
        <v>24</v>
      </c>
      <c r="M196" s="5" t="str">
        <f>IF([1]Employees!$I196&gt;=90000, "High", "Low")</f>
        <v>Low</v>
      </c>
      <c r="N196" s="6" t="str" cm="1">
        <f t="array" ref="N196">_xlfn.IFS([1]Employees!$I196&gt;=90000, "High", [1]Employees!$I196&gt;=50000, "Medium", [1]Employees!$I196&lt;50000, "Low")</f>
        <v>Medium</v>
      </c>
      <c r="O196" s="15" t="str">
        <f>IF([1]Employees!$I196&gt;=90000, "High", IF([1]Employees!$I196&gt;=50000, "Medium", "Low"))</f>
        <v>Medium</v>
      </c>
    </row>
    <row r="197" spans="1:15" x14ac:dyDescent="0.3">
      <c r="A197" s="4" t="s">
        <v>632</v>
      </c>
      <c r="B197" s="4" t="s">
        <v>61</v>
      </c>
      <c r="C197" s="4" t="s">
        <v>86</v>
      </c>
      <c r="D197" s="4" t="s">
        <v>27</v>
      </c>
      <c r="E197" s="4">
        <v>46</v>
      </c>
      <c r="F197" s="4" t="s">
        <v>42</v>
      </c>
      <c r="G197" s="4" t="s">
        <v>29</v>
      </c>
      <c r="H197" s="4" t="s">
        <v>633</v>
      </c>
      <c r="I197" s="4">
        <v>37033</v>
      </c>
      <c r="J197" s="4" t="s">
        <v>63</v>
      </c>
      <c r="K197" s="4" t="s">
        <v>634</v>
      </c>
      <c r="L197" s="4" t="s">
        <v>39</v>
      </c>
      <c r="M197" s="5" t="str">
        <f>IF([1]Employees!$I197&gt;=90000, "High", "Low")</f>
        <v>Low</v>
      </c>
      <c r="N197" s="6" t="str" cm="1">
        <f t="array" ref="N197">_xlfn.IFS([1]Employees!$I197&gt;=90000, "High", [1]Employees!$I197&gt;=50000, "Medium", [1]Employees!$I197&lt;50000, "Low")</f>
        <v>Low</v>
      </c>
      <c r="O197" s="15" t="str">
        <f>IF([1]Employees!$I197&gt;=90000, "High", IF([1]Employees!$I197&gt;=50000, "Medium", "Low"))</f>
        <v>Low</v>
      </c>
    </row>
    <row r="198" spans="1:15" x14ac:dyDescent="0.3">
      <c r="A198" s="4" t="s">
        <v>635</v>
      </c>
      <c r="B198" s="4" t="s">
        <v>16</v>
      </c>
      <c r="C198" s="4" t="s">
        <v>66</v>
      </c>
      <c r="D198" s="4" t="s">
        <v>27</v>
      </c>
      <c r="E198" s="4">
        <v>25</v>
      </c>
      <c r="F198" s="4" t="s">
        <v>42</v>
      </c>
      <c r="G198" s="4" t="s">
        <v>111</v>
      </c>
      <c r="H198" s="4" t="s">
        <v>636</v>
      </c>
      <c r="I198" s="4">
        <v>58062</v>
      </c>
      <c r="J198" s="4" t="s">
        <v>37</v>
      </c>
      <c r="K198" s="4" t="s">
        <v>637</v>
      </c>
      <c r="L198" s="4" t="s">
        <v>24</v>
      </c>
      <c r="M198" s="5" t="str">
        <f>IF([1]Employees!$I198&gt;=90000, "High", "Low")</f>
        <v>Low</v>
      </c>
      <c r="N198" s="6" t="str" cm="1">
        <f t="array" ref="N198">_xlfn.IFS([1]Employees!$I198&gt;=90000, "High", [1]Employees!$I198&gt;=50000, "Medium", [1]Employees!$I198&lt;50000, "Low")</f>
        <v>Medium</v>
      </c>
      <c r="O198" s="15" t="str">
        <f>IF([1]Employees!$I198&gt;=90000, "High", IF([1]Employees!$I198&gt;=50000, "Medium", "Low"))</f>
        <v>Medium</v>
      </c>
    </row>
    <row r="199" spans="1:15" x14ac:dyDescent="0.3">
      <c r="A199" s="4" t="s">
        <v>638</v>
      </c>
      <c r="B199" s="4" t="s">
        <v>47</v>
      </c>
      <c r="C199" s="4" t="s">
        <v>133</v>
      </c>
      <c r="D199" s="4" t="s">
        <v>18</v>
      </c>
      <c r="E199" s="4">
        <v>29</v>
      </c>
      <c r="F199" s="4" t="s">
        <v>19</v>
      </c>
      <c r="G199" s="4" t="s">
        <v>43</v>
      </c>
      <c r="H199" s="4" t="s">
        <v>264</v>
      </c>
      <c r="I199" s="4">
        <v>49357</v>
      </c>
      <c r="J199" s="4" t="s">
        <v>63</v>
      </c>
      <c r="K199" s="4" t="s">
        <v>639</v>
      </c>
      <c r="L199" s="4" t="s">
        <v>24</v>
      </c>
      <c r="M199" s="5" t="str">
        <f>IF([1]Employees!$I199&gt;=90000, "High", "Low")</f>
        <v>Low</v>
      </c>
      <c r="N199" s="6" t="str" cm="1">
        <f t="array" ref="N199">_xlfn.IFS([1]Employees!$I199&gt;=90000, "High", [1]Employees!$I199&gt;=50000, "Medium", [1]Employees!$I199&lt;50000, "Low")</f>
        <v>Low</v>
      </c>
      <c r="O199" s="15" t="str">
        <f>IF([1]Employees!$I199&gt;=90000, "High", IF([1]Employees!$I199&gt;=50000, "Medium", "Low"))</f>
        <v>Low</v>
      </c>
    </row>
    <row r="200" spans="1:15" x14ac:dyDescent="0.3">
      <c r="A200" s="4" t="s">
        <v>640</v>
      </c>
      <c r="B200" s="4" t="s">
        <v>74</v>
      </c>
      <c r="C200" s="4" t="s">
        <v>93</v>
      </c>
      <c r="D200" s="4" t="s">
        <v>18</v>
      </c>
      <c r="E200" s="4">
        <v>54</v>
      </c>
      <c r="F200" s="4" t="s">
        <v>34</v>
      </c>
      <c r="G200" s="4" t="s">
        <v>29</v>
      </c>
      <c r="H200" s="4" t="s">
        <v>641</v>
      </c>
      <c r="I200" s="4">
        <v>59758</v>
      </c>
      <c r="J200" s="4" t="s">
        <v>37</v>
      </c>
      <c r="K200" s="4" t="s">
        <v>642</v>
      </c>
      <c r="L200" s="4" t="s">
        <v>39</v>
      </c>
      <c r="M200" s="5" t="str">
        <f>IF([1]Employees!$I200&gt;=90000, "High", "Low")</f>
        <v>Low</v>
      </c>
      <c r="N200" s="6" t="str" cm="1">
        <f t="array" ref="N200">_xlfn.IFS([1]Employees!$I200&gt;=90000, "High", [1]Employees!$I200&gt;=50000, "Medium", [1]Employees!$I200&lt;50000, "Low")</f>
        <v>Medium</v>
      </c>
      <c r="O200" s="15" t="str">
        <f>IF([1]Employees!$I200&gt;=90000, "High", IF([1]Employees!$I200&gt;=50000, "Medium", "Low"))</f>
        <v>Medium</v>
      </c>
    </row>
    <row r="201" spans="1:15" x14ac:dyDescent="0.3">
      <c r="A201" s="4" t="s">
        <v>643</v>
      </c>
      <c r="B201" s="4" t="s">
        <v>97</v>
      </c>
      <c r="C201" s="4" t="s">
        <v>168</v>
      </c>
      <c r="D201" s="4" t="s">
        <v>27</v>
      </c>
      <c r="E201" s="4">
        <v>37</v>
      </c>
      <c r="F201" s="4" t="s">
        <v>53</v>
      </c>
      <c r="G201" s="4" t="s">
        <v>20</v>
      </c>
      <c r="H201" s="4" t="s">
        <v>644</v>
      </c>
      <c r="I201" s="4">
        <v>45788</v>
      </c>
      <c r="J201" s="4" t="s">
        <v>83</v>
      </c>
      <c r="K201" s="4" t="s">
        <v>645</v>
      </c>
      <c r="L201" s="4" t="s">
        <v>39</v>
      </c>
      <c r="M201" s="5" t="str">
        <f>IF([1]Employees!$I201&gt;=90000, "High", "Low")</f>
        <v>Low</v>
      </c>
      <c r="N201" s="6" t="str" cm="1">
        <f t="array" ref="N201">_xlfn.IFS([1]Employees!$I201&gt;=90000, "High", [1]Employees!$I201&gt;=50000, "Medium", [1]Employees!$I201&lt;50000, "Low")</f>
        <v>Low</v>
      </c>
      <c r="O201" s="15" t="str">
        <f>IF([1]Employees!$I201&gt;=90000, "High", IF([1]Employees!$I201&gt;=50000, "Medium", "Low"))</f>
        <v>Low</v>
      </c>
    </row>
    <row r="202" spans="1:15" x14ac:dyDescent="0.3">
      <c r="A202" s="4" t="s">
        <v>646</v>
      </c>
      <c r="B202" s="4" t="s">
        <v>33</v>
      </c>
      <c r="C202" s="4" t="s">
        <v>26</v>
      </c>
      <c r="D202" s="4" t="s">
        <v>27</v>
      </c>
      <c r="E202" s="4">
        <v>28</v>
      </c>
      <c r="F202" s="4" t="s">
        <v>19</v>
      </c>
      <c r="G202" s="4" t="s">
        <v>35</v>
      </c>
      <c r="H202" s="4" t="s">
        <v>647</v>
      </c>
      <c r="I202" s="4">
        <v>38862</v>
      </c>
      <c r="J202" s="4" t="s">
        <v>68</v>
      </c>
      <c r="K202" s="4" t="s">
        <v>648</v>
      </c>
      <c r="L202" s="4" t="s">
        <v>39</v>
      </c>
      <c r="M202" s="5" t="str">
        <f>IF([1]Employees!$I202&gt;=90000, "High", "Low")</f>
        <v>Low</v>
      </c>
      <c r="N202" s="6" t="str" cm="1">
        <f t="array" ref="N202">_xlfn.IFS([1]Employees!$I202&gt;=90000, "High", [1]Employees!$I202&gt;=50000, "Medium", [1]Employees!$I202&lt;50000, "Low")</f>
        <v>Low</v>
      </c>
      <c r="O202" s="15" t="str">
        <f>IF([1]Employees!$I202&gt;=90000, "High", IF([1]Employees!$I202&gt;=50000, "Medium", "Low"))</f>
        <v>Low</v>
      </c>
    </row>
    <row r="203" spans="1:15" x14ac:dyDescent="0.3">
      <c r="A203" s="4" t="s">
        <v>649</v>
      </c>
      <c r="B203" s="4" t="s">
        <v>47</v>
      </c>
      <c r="C203" s="4" t="s">
        <v>168</v>
      </c>
      <c r="D203" s="4" t="s">
        <v>27</v>
      </c>
      <c r="E203" s="4">
        <v>48</v>
      </c>
      <c r="F203" s="4" t="s">
        <v>28</v>
      </c>
      <c r="G203" s="4" t="s">
        <v>43</v>
      </c>
      <c r="H203" s="4" t="s">
        <v>650</v>
      </c>
      <c r="I203" s="4">
        <v>76132</v>
      </c>
      <c r="J203" s="4" t="s">
        <v>22</v>
      </c>
      <c r="K203" s="4" t="s">
        <v>651</v>
      </c>
      <c r="L203" s="4" t="s">
        <v>39</v>
      </c>
      <c r="M203" s="5" t="str">
        <f>IF([1]Employees!$I203&gt;=90000, "High", "Low")</f>
        <v>Low</v>
      </c>
      <c r="N203" s="6" t="str" cm="1">
        <f t="array" ref="N203">_xlfn.IFS([1]Employees!$I203&gt;=90000, "High", [1]Employees!$I203&gt;=50000, "Medium", [1]Employees!$I203&lt;50000, "Low")</f>
        <v>Medium</v>
      </c>
      <c r="O203" s="15" t="str">
        <f>IF([1]Employees!$I203&gt;=90000, "High", IF([1]Employees!$I203&gt;=50000, "Medium", "Low"))</f>
        <v>Medium</v>
      </c>
    </row>
    <row r="204" spans="1:15" x14ac:dyDescent="0.3">
      <c r="A204" s="4" t="s">
        <v>652</v>
      </c>
      <c r="B204" s="4" t="s">
        <v>33</v>
      </c>
      <c r="C204" s="4" t="s">
        <v>81</v>
      </c>
      <c r="D204" s="4" t="s">
        <v>27</v>
      </c>
      <c r="E204" s="4">
        <v>49</v>
      </c>
      <c r="F204" s="4" t="s">
        <v>28</v>
      </c>
      <c r="G204" s="4" t="s">
        <v>20</v>
      </c>
      <c r="H204" s="4" t="s">
        <v>653</v>
      </c>
      <c r="I204" s="4">
        <v>56773</v>
      </c>
      <c r="J204" s="4" t="s">
        <v>83</v>
      </c>
      <c r="K204" s="4" t="s">
        <v>654</v>
      </c>
      <c r="L204" s="4" t="s">
        <v>24</v>
      </c>
      <c r="M204" s="5" t="str">
        <f>IF([1]Employees!$I204&gt;=90000, "High", "Low")</f>
        <v>Low</v>
      </c>
      <c r="N204" s="6" t="str" cm="1">
        <f t="array" ref="N204">_xlfn.IFS([1]Employees!$I204&gt;=90000, "High", [1]Employees!$I204&gt;=50000, "Medium", [1]Employees!$I204&lt;50000, "Low")</f>
        <v>Medium</v>
      </c>
      <c r="O204" s="15" t="str">
        <f>IF([1]Employees!$I204&gt;=90000, "High", IF([1]Employees!$I204&gt;=50000, "Medium", "Low"))</f>
        <v>Medium</v>
      </c>
    </row>
    <row r="205" spans="1:15" x14ac:dyDescent="0.3">
      <c r="A205" s="4" t="s">
        <v>655</v>
      </c>
      <c r="B205" s="4" t="s">
        <v>33</v>
      </c>
      <c r="C205" s="4" t="s">
        <v>26</v>
      </c>
      <c r="D205" s="4" t="s">
        <v>18</v>
      </c>
      <c r="E205" s="4">
        <v>25</v>
      </c>
      <c r="F205" s="4" t="s">
        <v>19</v>
      </c>
      <c r="G205" s="4" t="s">
        <v>43</v>
      </c>
      <c r="H205" s="4" t="s">
        <v>656</v>
      </c>
      <c r="I205" s="4">
        <v>84117</v>
      </c>
      <c r="J205" s="4" t="s">
        <v>83</v>
      </c>
      <c r="K205" s="4" t="s">
        <v>657</v>
      </c>
      <c r="L205" s="4" t="s">
        <v>39</v>
      </c>
      <c r="M205" s="5" t="str">
        <f>IF([1]Employees!$I205&gt;=90000, "High", "Low")</f>
        <v>Low</v>
      </c>
      <c r="N205" s="6" t="str" cm="1">
        <f t="array" ref="N205">_xlfn.IFS([1]Employees!$I205&gt;=90000, "High", [1]Employees!$I205&gt;=50000, "Medium", [1]Employees!$I205&lt;50000, "Low")</f>
        <v>Medium</v>
      </c>
      <c r="O205" s="15" t="str">
        <f>IF([1]Employees!$I205&gt;=90000, "High", IF([1]Employees!$I205&gt;=50000, "Medium", "Low"))</f>
        <v>Medium</v>
      </c>
    </row>
    <row r="206" spans="1:15" x14ac:dyDescent="0.3">
      <c r="A206" s="4" t="s">
        <v>658</v>
      </c>
      <c r="B206" s="4" t="s">
        <v>61</v>
      </c>
      <c r="C206" s="4" t="s">
        <v>48</v>
      </c>
      <c r="D206" s="4" t="s">
        <v>27</v>
      </c>
      <c r="E206" s="4">
        <v>41</v>
      </c>
      <c r="F206" s="4" t="s">
        <v>19</v>
      </c>
      <c r="G206" s="4" t="s">
        <v>29</v>
      </c>
      <c r="H206" s="4" t="s">
        <v>659</v>
      </c>
      <c r="I206" s="4">
        <v>111999</v>
      </c>
      <c r="J206" s="4" t="s">
        <v>83</v>
      </c>
      <c r="K206" s="4" t="s">
        <v>660</v>
      </c>
      <c r="L206" s="4" t="s">
        <v>39</v>
      </c>
      <c r="M206" s="5" t="str">
        <f>IF([1]Employees!$I206&gt;=90000, "High", "Low")</f>
        <v>High</v>
      </c>
      <c r="N206" s="6" t="str" cm="1">
        <f t="array" ref="N206">_xlfn.IFS([1]Employees!$I206&gt;=90000, "High", [1]Employees!$I206&gt;=50000, "Medium", [1]Employees!$I206&lt;50000, "Low")</f>
        <v>High</v>
      </c>
      <c r="O206" s="15" t="str">
        <f>IF([1]Employees!$I206&gt;=90000, "High", IF([1]Employees!$I206&gt;=50000, "Medium", "Low"))</f>
        <v>High</v>
      </c>
    </row>
    <row r="207" spans="1:15" x14ac:dyDescent="0.3">
      <c r="A207" s="4" t="s">
        <v>661</v>
      </c>
      <c r="B207" s="4" t="s">
        <v>16</v>
      </c>
      <c r="C207" s="4" t="s">
        <v>48</v>
      </c>
      <c r="D207" s="4" t="s">
        <v>18</v>
      </c>
      <c r="E207" s="4">
        <v>23</v>
      </c>
      <c r="F207" s="4" t="s">
        <v>19</v>
      </c>
      <c r="G207" s="4" t="s">
        <v>43</v>
      </c>
      <c r="H207" s="4" t="s">
        <v>475</v>
      </c>
      <c r="I207" s="4">
        <v>93395</v>
      </c>
      <c r="J207" s="4" t="s">
        <v>68</v>
      </c>
      <c r="K207" s="4" t="s">
        <v>662</v>
      </c>
      <c r="L207" s="4" t="s">
        <v>24</v>
      </c>
      <c r="M207" s="5" t="str">
        <f>IF([1]Employees!$I207&gt;=90000, "High", "Low")</f>
        <v>High</v>
      </c>
      <c r="N207" s="6" t="str" cm="1">
        <f t="array" ref="N207">_xlfn.IFS([1]Employees!$I207&gt;=90000, "High", [1]Employees!$I207&gt;=50000, "Medium", [1]Employees!$I207&lt;50000, "Low")</f>
        <v>High</v>
      </c>
      <c r="O207" s="15" t="str">
        <f>IF([1]Employees!$I207&gt;=90000, "High", IF([1]Employees!$I207&gt;=50000, "Medium", "Low"))</f>
        <v>High</v>
      </c>
    </row>
    <row r="208" spans="1:15" x14ac:dyDescent="0.3">
      <c r="A208" s="4" t="s">
        <v>663</v>
      </c>
      <c r="B208" s="4" t="s">
        <v>16</v>
      </c>
      <c r="C208" s="4" t="s">
        <v>17</v>
      </c>
      <c r="D208" s="4" t="s">
        <v>18</v>
      </c>
      <c r="E208" s="4">
        <v>42</v>
      </c>
      <c r="F208" s="4" t="s">
        <v>34</v>
      </c>
      <c r="G208" s="4" t="s">
        <v>111</v>
      </c>
      <c r="H208" s="4" t="s">
        <v>664</v>
      </c>
      <c r="I208" s="4">
        <v>91944</v>
      </c>
      <c r="J208" s="4" t="s">
        <v>63</v>
      </c>
      <c r="K208" s="4" t="s">
        <v>665</v>
      </c>
      <c r="L208" s="4" t="s">
        <v>24</v>
      </c>
      <c r="M208" s="5" t="str">
        <f>IF([1]Employees!$I208&gt;=90000, "High", "Low")</f>
        <v>High</v>
      </c>
      <c r="N208" s="6" t="str" cm="1">
        <f t="array" ref="N208">_xlfn.IFS([1]Employees!$I208&gt;=90000, "High", [1]Employees!$I208&gt;=50000, "Medium", [1]Employees!$I208&lt;50000, "Low")</f>
        <v>High</v>
      </c>
      <c r="O208" s="15" t="str">
        <f>IF([1]Employees!$I208&gt;=90000, "High", IF([1]Employees!$I208&gt;=50000, "Medium", "Low"))</f>
        <v>High</v>
      </c>
    </row>
    <row r="209" spans="1:15" x14ac:dyDescent="0.3">
      <c r="A209" s="4" t="s">
        <v>666</v>
      </c>
      <c r="B209" s="4" t="s">
        <v>74</v>
      </c>
      <c r="C209" s="4" t="s">
        <v>66</v>
      </c>
      <c r="D209" s="4" t="s">
        <v>27</v>
      </c>
      <c r="E209" s="4">
        <v>33</v>
      </c>
      <c r="F209" s="4" t="s">
        <v>42</v>
      </c>
      <c r="G209" s="4" t="s">
        <v>43</v>
      </c>
      <c r="H209" s="4" t="s">
        <v>667</v>
      </c>
      <c r="I209" s="4">
        <v>115357</v>
      </c>
      <c r="J209" s="4" t="s">
        <v>22</v>
      </c>
      <c r="K209" s="4" t="s">
        <v>668</v>
      </c>
      <c r="L209" s="4" t="s">
        <v>39</v>
      </c>
      <c r="M209" s="5" t="str">
        <f>IF([1]Employees!$I209&gt;=90000, "High", "Low")</f>
        <v>High</v>
      </c>
      <c r="N209" s="6" t="str" cm="1">
        <f t="array" ref="N209">_xlfn.IFS([1]Employees!$I209&gt;=90000, "High", [1]Employees!$I209&gt;=50000, "Medium", [1]Employees!$I209&lt;50000, "Low")</f>
        <v>High</v>
      </c>
      <c r="O209" s="15" t="str">
        <f>IF([1]Employees!$I209&gt;=90000, "High", IF([1]Employees!$I209&gt;=50000, "Medium", "Low"))</f>
        <v>High</v>
      </c>
    </row>
    <row r="210" spans="1:15" x14ac:dyDescent="0.3">
      <c r="A210" s="4" t="s">
        <v>669</v>
      </c>
      <c r="B210" s="4" t="s">
        <v>33</v>
      </c>
      <c r="C210" s="4" t="s">
        <v>17</v>
      </c>
      <c r="D210" s="4" t="s">
        <v>18</v>
      </c>
      <c r="E210" s="4">
        <v>40</v>
      </c>
      <c r="F210" s="4" t="s">
        <v>19</v>
      </c>
      <c r="G210" s="4" t="s">
        <v>111</v>
      </c>
      <c r="H210" s="4" t="s">
        <v>636</v>
      </c>
      <c r="I210" s="4">
        <v>103876</v>
      </c>
      <c r="J210" s="4" t="s">
        <v>83</v>
      </c>
      <c r="K210" s="4" t="s">
        <v>670</v>
      </c>
      <c r="L210" s="4" t="s">
        <v>39</v>
      </c>
      <c r="M210" s="5" t="str">
        <f>IF([1]Employees!$I210&gt;=90000, "High", "Low")</f>
        <v>High</v>
      </c>
      <c r="N210" s="6" t="str" cm="1">
        <f t="array" ref="N210">_xlfn.IFS([1]Employees!$I210&gt;=90000, "High", [1]Employees!$I210&gt;=50000, "Medium", [1]Employees!$I210&lt;50000, "Low")</f>
        <v>High</v>
      </c>
      <c r="O210" s="15" t="str">
        <f>IF([1]Employees!$I210&gt;=90000, "High", IF([1]Employees!$I210&gt;=50000, "Medium", "Low"))</f>
        <v>High</v>
      </c>
    </row>
    <row r="211" spans="1:15" x14ac:dyDescent="0.3">
      <c r="A211" s="4" t="s">
        <v>671</v>
      </c>
      <c r="B211" s="4" t="s">
        <v>41</v>
      </c>
      <c r="C211" s="4" t="s">
        <v>168</v>
      </c>
      <c r="D211" s="4" t="s">
        <v>18</v>
      </c>
      <c r="E211" s="4">
        <v>42</v>
      </c>
      <c r="F211" s="4" t="s">
        <v>19</v>
      </c>
      <c r="G211" s="4" t="s">
        <v>111</v>
      </c>
      <c r="H211" s="4" t="s">
        <v>672</v>
      </c>
      <c r="I211" s="4">
        <v>106174</v>
      </c>
      <c r="J211" s="4" t="s">
        <v>68</v>
      </c>
      <c r="K211" s="4" t="s">
        <v>673</v>
      </c>
      <c r="L211" s="4" t="s">
        <v>24</v>
      </c>
      <c r="M211" s="5" t="str">
        <f>IF([1]Employees!$I211&gt;=90000, "High", "Low")</f>
        <v>High</v>
      </c>
      <c r="N211" s="6" t="str" cm="1">
        <f t="array" ref="N211">_xlfn.IFS([1]Employees!$I211&gt;=90000, "High", [1]Employees!$I211&gt;=50000, "Medium", [1]Employees!$I211&lt;50000, "Low")</f>
        <v>High</v>
      </c>
      <c r="O211" s="15" t="str">
        <f>IF([1]Employees!$I211&gt;=90000, "High", IF([1]Employees!$I211&gt;=50000, "Medium", "Low"))</f>
        <v>High</v>
      </c>
    </row>
    <row r="212" spans="1:15" x14ac:dyDescent="0.3">
      <c r="A212" s="4" t="s">
        <v>674</v>
      </c>
      <c r="B212" s="4" t="s">
        <v>97</v>
      </c>
      <c r="C212" s="4" t="s">
        <v>48</v>
      </c>
      <c r="D212" s="4" t="s">
        <v>18</v>
      </c>
      <c r="E212" s="4">
        <v>29</v>
      </c>
      <c r="F212" s="4" t="s">
        <v>34</v>
      </c>
      <c r="G212" s="4" t="s">
        <v>43</v>
      </c>
      <c r="H212" s="4" t="s">
        <v>675</v>
      </c>
      <c r="I212" s="4">
        <v>80612</v>
      </c>
      <c r="J212" s="4" t="s">
        <v>68</v>
      </c>
      <c r="K212" s="4" t="s">
        <v>676</v>
      </c>
      <c r="L212" s="4" t="s">
        <v>24</v>
      </c>
      <c r="M212" s="5" t="str">
        <f>IF([1]Employees!$I212&gt;=90000, "High", "Low")</f>
        <v>Low</v>
      </c>
      <c r="N212" s="6" t="str" cm="1">
        <f t="array" ref="N212">_xlfn.IFS([1]Employees!$I212&gt;=90000, "High", [1]Employees!$I212&gt;=50000, "Medium", [1]Employees!$I212&lt;50000, "Low")</f>
        <v>Medium</v>
      </c>
      <c r="O212" s="15" t="str">
        <f>IF([1]Employees!$I212&gt;=90000, "High", IF([1]Employees!$I212&gt;=50000, "Medium", "Low"))</f>
        <v>Medium</v>
      </c>
    </row>
    <row r="213" spans="1:15" x14ac:dyDescent="0.3">
      <c r="A213" s="4" t="s">
        <v>677</v>
      </c>
      <c r="B213" s="4" t="s">
        <v>146</v>
      </c>
      <c r="C213" s="4" t="s">
        <v>26</v>
      </c>
      <c r="D213" s="4" t="s">
        <v>18</v>
      </c>
      <c r="E213" s="4">
        <v>55</v>
      </c>
      <c r="F213" s="4" t="s">
        <v>34</v>
      </c>
      <c r="G213" s="4" t="s">
        <v>43</v>
      </c>
      <c r="H213" s="4" t="s">
        <v>678</v>
      </c>
      <c r="I213" s="4">
        <v>103478</v>
      </c>
      <c r="J213" s="4" t="s">
        <v>68</v>
      </c>
      <c r="K213" s="4" t="s">
        <v>679</v>
      </c>
      <c r="L213" s="4" t="s">
        <v>24</v>
      </c>
      <c r="M213" s="5" t="str">
        <f>IF([1]Employees!$I213&gt;=90000, "High", "Low")</f>
        <v>High</v>
      </c>
      <c r="N213" s="6" t="str" cm="1">
        <f t="array" ref="N213">_xlfn.IFS([1]Employees!$I213&gt;=90000, "High", [1]Employees!$I213&gt;=50000, "Medium", [1]Employees!$I213&lt;50000, "Low")</f>
        <v>High</v>
      </c>
      <c r="O213" s="15" t="str">
        <f>IF([1]Employees!$I213&gt;=90000, "High", IF([1]Employees!$I213&gt;=50000, "Medium", "Low"))</f>
        <v>High</v>
      </c>
    </row>
    <row r="214" spans="1:15" x14ac:dyDescent="0.3">
      <c r="A214" s="4" t="s">
        <v>680</v>
      </c>
      <c r="B214" s="4" t="s">
        <v>33</v>
      </c>
      <c r="C214" s="4" t="s">
        <v>81</v>
      </c>
      <c r="D214" s="4" t="s">
        <v>18</v>
      </c>
      <c r="E214" s="4">
        <v>59</v>
      </c>
      <c r="F214" s="4" t="s">
        <v>19</v>
      </c>
      <c r="G214" s="4" t="s">
        <v>35</v>
      </c>
      <c r="H214" s="4" t="s">
        <v>681</v>
      </c>
      <c r="I214" s="4">
        <v>38205</v>
      </c>
      <c r="J214" s="4" t="s">
        <v>83</v>
      </c>
      <c r="K214" s="4" t="s">
        <v>682</v>
      </c>
      <c r="L214" s="4" t="s">
        <v>39</v>
      </c>
      <c r="M214" s="5" t="str">
        <f>IF([1]Employees!$I214&gt;=90000, "High", "Low")</f>
        <v>Low</v>
      </c>
      <c r="N214" s="6" t="str" cm="1">
        <f t="array" ref="N214">_xlfn.IFS([1]Employees!$I214&gt;=90000, "High", [1]Employees!$I214&gt;=50000, "Medium", [1]Employees!$I214&lt;50000, "Low")</f>
        <v>Low</v>
      </c>
      <c r="O214" s="15" t="str">
        <f>IF([1]Employees!$I214&gt;=90000, "High", IF([1]Employees!$I214&gt;=50000, "Medium", "Low"))</f>
        <v>Low</v>
      </c>
    </row>
    <row r="215" spans="1:15" x14ac:dyDescent="0.3">
      <c r="A215" s="4" t="s">
        <v>683</v>
      </c>
      <c r="B215" s="4" t="s">
        <v>52</v>
      </c>
      <c r="C215" s="4" t="s">
        <v>133</v>
      </c>
      <c r="D215" s="4" t="s">
        <v>18</v>
      </c>
      <c r="E215" s="4">
        <v>46</v>
      </c>
      <c r="F215" s="4" t="s">
        <v>28</v>
      </c>
      <c r="G215" s="4" t="s">
        <v>111</v>
      </c>
      <c r="H215" s="4" t="s">
        <v>684</v>
      </c>
      <c r="I215" s="4">
        <v>53141</v>
      </c>
      <c r="J215" s="4" t="s">
        <v>37</v>
      </c>
      <c r="K215" s="4" t="s">
        <v>685</v>
      </c>
      <c r="L215" s="4" t="s">
        <v>39</v>
      </c>
      <c r="M215" s="5" t="str">
        <f>IF([1]Employees!$I215&gt;=90000, "High", "Low")</f>
        <v>Low</v>
      </c>
      <c r="N215" s="6" t="str" cm="1">
        <f t="array" ref="N215">_xlfn.IFS([1]Employees!$I215&gt;=90000, "High", [1]Employees!$I215&gt;=50000, "Medium", [1]Employees!$I215&lt;50000, "Low")</f>
        <v>Medium</v>
      </c>
      <c r="O215" s="15" t="str">
        <f>IF([1]Employees!$I215&gt;=90000, "High", IF([1]Employees!$I215&gt;=50000, "Medium", "Low"))</f>
        <v>Medium</v>
      </c>
    </row>
    <row r="216" spans="1:15" x14ac:dyDescent="0.3">
      <c r="A216" s="4" t="s">
        <v>686</v>
      </c>
      <c r="B216" s="4" t="s">
        <v>41</v>
      </c>
      <c r="C216" s="4" t="s">
        <v>66</v>
      </c>
      <c r="D216" s="4" t="s">
        <v>27</v>
      </c>
      <c r="E216" s="4">
        <v>27</v>
      </c>
      <c r="F216" s="4" t="s">
        <v>28</v>
      </c>
      <c r="G216" s="4" t="s">
        <v>111</v>
      </c>
      <c r="H216" s="4" t="s">
        <v>687</v>
      </c>
      <c r="I216" s="4">
        <v>70180</v>
      </c>
      <c r="J216" s="4" t="s">
        <v>37</v>
      </c>
      <c r="K216" s="4" t="s">
        <v>688</v>
      </c>
      <c r="L216" s="4" t="s">
        <v>24</v>
      </c>
      <c r="M216" s="5" t="str">
        <f>IF([1]Employees!$I216&gt;=90000, "High", "Low")</f>
        <v>Low</v>
      </c>
      <c r="N216" s="6" t="str" cm="1">
        <f t="array" ref="N216">_xlfn.IFS([1]Employees!$I216&gt;=90000, "High", [1]Employees!$I216&gt;=50000, "Medium", [1]Employees!$I216&lt;50000, "Low")</f>
        <v>Medium</v>
      </c>
      <c r="O216" s="15" t="str">
        <f>IF([1]Employees!$I216&gt;=90000, "High", IF([1]Employees!$I216&gt;=50000, "Medium", "Low"))</f>
        <v>Medium</v>
      </c>
    </row>
    <row r="217" spans="1:15" x14ac:dyDescent="0.3">
      <c r="A217" s="4" t="s">
        <v>689</v>
      </c>
      <c r="B217" s="4" t="s">
        <v>41</v>
      </c>
      <c r="C217" s="4" t="s">
        <v>48</v>
      </c>
      <c r="D217" s="4" t="s">
        <v>18</v>
      </c>
      <c r="E217" s="4">
        <v>29</v>
      </c>
      <c r="F217" s="4" t="s">
        <v>53</v>
      </c>
      <c r="G217" s="4" t="s">
        <v>29</v>
      </c>
      <c r="H217" s="4" t="s">
        <v>690</v>
      </c>
      <c r="I217" s="4">
        <v>48946</v>
      </c>
      <c r="J217" s="4" t="s">
        <v>63</v>
      </c>
      <c r="K217" s="4" t="s">
        <v>691</v>
      </c>
      <c r="L217" s="4" t="s">
        <v>39</v>
      </c>
      <c r="M217" s="5" t="str">
        <f>IF([1]Employees!$I217&gt;=90000, "High", "Low")</f>
        <v>Low</v>
      </c>
      <c r="N217" s="6" t="str" cm="1">
        <f t="array" ref="N217">_xlfn.IFS([1]Employees!$I217&gt;=90000, "High", [1]Employees!$I217&gt;=50000, "Medium", [1]Employees!$I217&lt;50000, "Low")</f>
        <v>Low</v>
      </c>
      <c r="O217" s="15" t="str">
        <f>IF([1]Employees!$I217&gt;=90000, "High", IF([1]Employees!$I217&gt;=50000, "Medium", "Low"))</f>
        <v>Low</v>
      </c>
    </row>
    <row r="218" spans="1:15" x14ac:dyDescent="0.3">
      <c r="A218" s="4" t="s">
        <v>692</v>
      </c>
      <c r="B218" s="4" t="s">
        <v>97</v>
      </c>
      <c r="C218" s="4" t="s">
        <v>81</v>
      </c>
      <c r="D218" s="4" t="s">
        <v>27</v>
      </c>
      <c r="E218" s="4">
        <v>38</v>
      </c>
      <c r="F218" s="4" t="s">
        <v>34</v>
      </c>
      <c r="G218" s="4" t="s">
        <v>35</v>
      </c>
      <c r="H218" s="4" t="s">
        <v>181</v>
      </c>
      <c r="I218" s="4">
        <v>107342</v>
      </c>
      <c r="J218" s="4" t="s">
        <v>83</v>
      </c>
      <c r="K218" s="4" t="s">
        <v>693</v>
      </c>
      <c r="L218" s="4" t="s">
        <v>24</v>
      </c>
      <c r="M218" s="5" t="str">
        <f>IF([1]Employees!$I218&gt;=90000, "High", "Low")</f>
        <v>High</v>
      </c>
      <c r="N218" s="6" t="str" cm="1">
        <f t="array" ref="N218">_xlfn.IFS([1]Employees!$I218&gt;=90000, "High", [1]Employees!$I218&gt;=50000, "Medium", [1]Employees!$I218&lt;50000, "Low")</f>
        <v>High</v>
      </c>
      <c r="O218" s="15" t="str">
        <f>IF([1]Employees!$I218&gt;=90000, "High", IF([1]Employees!$I218&gt;=50000, "Medium", "Low"))</f>
        <v>High</v>
      </c>
    </row>
    <row r="219" spans="1:15" x14ac:dyDescent="0.3">
      <c r="A219" s="4" t="s">
        <v>694</v>
      </c>
      <c r="B219" s="4" t="s">
        <v>33</v>
      </c>
      <c r="C219" s="4" t="s">
        <v>133</v>
      </c>
      <c r="D219" s="4" t="s">
        <v>27</v>
      </c>
      <c r="E219" s="4">
        <v>58</v>
      </c>
      <c r="F219" s="4" t="s">
        <v>34</v>
      </c>
      <c r="G219" s="4" t="s">
        <v>111</v>
      </c>
      <c r="H219" s="4" t="s">
        <v>695</v>
      </c>
      <c r="I219" s="4">
        <v>45973</v>
      </c>
      <c r="J219" s="4" t="s">
        <v>68</v>
      </c>
      <c r="K219" s="4" t="s">
        <v>696</v>
      </c>
      <c r="L219" s="4" t="s">
        <v>39</v>
      </c>
      <c r="M219" s="5" t="str">
        <f>IF([1]Employees!$I219&gt;=90000, "High", "Low")</f>
        <v>Low</v>
      </c>
      <c r="N219" s="6" t="str" cm="1">
        <f t="array" ref="N219">_xlfn.IFS([1]Employees!$I219&gt;=90000, "High", [1]Employees!$I219&gt;=50000, "Medium", [1]Employees!$I219&lt;50000, "Low")</f>
        <v>Low</v>
      </c>
      <c r="O219" s="15" t="str">
        <f>IF([1]Employees!$I219&gt;=90000, "High", IF([1]Employees!$I219&gt;=50000, "Medium", "Low"))</f>
        <v>Low</v>
      </c>
    </row>
    <row r="220" spans="1:15" x14ac:dyDescent="0.3">
      <c r="A220" s="4" t="s">
        <v>697</v>
      </c>
      <c r="B220" s="4" t="s">
        <v>41</v>
      </c>
      <c r="C220" s="4" t="s">
        <v>86</v>
      </c>
      <c r="D220" s="4" t="s">
        <v>18</v>
      </c>
      <c r="E220" s="4">
        <v>26</v>
      </c>
      <c r="F220" s="4" t="s">
        <v>42</v>
      </c>
      <c r="G220" s="4" t="s">
        <v>29</v>
      </c>
      <c r="H220" s="4" t="s">
        <v>698</v>
      </c>
      <c r="I220" s="4">
        <v>49800</v>
      </c>
      <c r="J220" s="4" t="s">
        <v>63</v>
      </c>
      <c r="K220" s="4" t="s">
        <v>699</v>
      </c>
      <c r="L220" s="4" t="s">
        <v>39</v>
      </c>
      <c r="M220" s="5" t="str">
        <f>IF([1]Employees!$I220&gt;=90000, "High", "Low")</f>
        <v>Low</v>
      </c>
      <c r="N220" s="6" t="str" cm="1">
        <f t="array" ref="N220">_xlfn.IFS([1]Employees!$I220&gt;=90000, "High", [1]Employees!$I220&gt;=50000, "Medium", [1]Employees!$I220&lt;50000, "Low")</f>
        <v>Low</v>
      </c>
      <c r="O220" s="15" t="str">
        <f>IF([1]Employees!$I220&gt;=90000, "High", IF([1]Employees!$I220&gt;=50000, "Medium", "Low"))</f>
        <v>Low</v>
      </c>
    </row>
    <row r="221" spans="1:15" x14ac:dyDescent="0.3">
      <c r="A221" s="4" t="s">
        <v>700</v>
      </c>
      <c r="B221" s="4" t="s">
        <v>146</v>
      </c>
      <c r="C221" s="4" t="s">
        <v>26</v>
      </c>
      <c r="D221" s="4" t="s">
        <v>27</v>
      </c>
      <c r="E221" s="4">
        <v>25</v>
      </c>
      <c r="F221" s="4" t="s">
        <v>53</v>
      </c>
      <c r="G221" s="4" t="s">
        <v>35</v>
      </c>
      <c r="H221" s="4" t="s">
        <v>427</v>
      </c>
      <c r="I221" s="4">
        <v>39237</v>
      </c>
      <c r="J221" s="4" t="s">
        <v>37</v>
      </c>
      <c r="K221" s="4" t="s">
        <v>701</v>
      </c>
      <c r="L221" s="4" t="s">
        <v>39</v>
      </c>
      <c r="M221" s="5" t="str">
        <f>IF([1]Employees!$I221&gt;=90000, "High", "Low")</f>
        <v>Low</v>
      </c>
      <c r="N221" s="6" t="str" cm="1">
        <f t="array" ref="N221">_xlfn.IFS([1]Employees!$I221&gt;=90000, "High", [1]Employees!$I221&gt;=50000, "Medium", [1]Employees!$I221&lt;50000, "Low")</f>
        <v>Low</v>
      </c>
      <c r="O221" s="15" t="str">
        <f>IF([1]Employees!$I221&gt;=90000, "High", IF([1]Employees!$I221&gt;=50000, "Medium", "Low"))</f>
        <v>Low</v>
      </c>
    </row>
    <row r="222" spans="1:15" x14ac:dyDescent="0.3">
      <c r="A222" s="4" t="s">
        <v>702</v>
      </c>
      <c r="B222" s="4" t="s">
        <v>16</v>
      </c>
      <c r="C222" s="4" t="s">
        <v>93</v>
      </c>
      <c r="D222" s="4" t="s">
        <v>18</v>
      </c>
      <c r="E222" s="4">
        <v>54</v>
      </c>
      <c r="F222" s="4" t="s">
        <v>42</v>
      </c>
      <c r="G222" s="4" t="s">
        <v>35</v>
      </c>
      <c r="H222" s="4" t="s">
        <v>621</v>
      </c>
      <c r="I222" s="4">
        <v>69777</v>
      </c>
      <c r="J222" s="4" t="s">
        <v>22</v>
      </c>
      <c r="K222" s="4" t="s">
        <v>703</v>
      </c>
      <c r="L222" s="4" t="s">
        <v>24</v>
      </c>
      <c r="M222" s="5" t="str">
        <f>IF([1]Employees!$I222&gt;=90000, "High", "Low")</f>
        <v>Low</v>
      </c>
      <c r="N222" s="6" t="str" cm="1">
        <f t="array" ref="N222">_xlfn.IFS([1]Employees!$I222&gt;=90000, "High", [1]Employees!$I222&gt;=50000, "Medium", [1]Employees!$I222&lt;50000, "Low")</f>
        <v>Medium</v>
      </c>
      <c r="O222" s="15" t="str">
        <f>IF([1]Employees!$I222&gt;=90000, "High", IF([1]Employees!$I222&gt;=50000, "Medium", "Low"))</f>
        <v>Medium</v>
      </c>
    </row>
    <row r="223" spans="1:15" x14ac:dyDescent="0.3">
      <c r="A223" s="4" t="s">
        <v>704</v>
      </c>
      <c r="B223" s="4" t="s">
        <v>16</v>
      </c>
      <c r="C223" s="4" t="s">
        <v>86</v>
      </c>
      <c r="D223" s="4" t="s">
        <v>27</v>
      </c>
      <c r="E223" s="4">
        <v>24</v>
      </c>
      <c r="F223" s="4" t="s">
        <v>53</v>
      </c>
      <c r="G223" s="4" t="s">
        <v>29</v>
      </c>
      <c r="H223" s="4" t="s">
        <v>705</v>
      </c>
      <c r="I223" s="4">
        <v>45012</v>
      </c>
      <c r="J223" s="4" t="s">
        <v>37</v>
      </c>
      <c r="K223" s="4" t="s">
        <v>706</v>
      </c>
      <c r="L223" s="4" t="s">
        <v>39</v>
      </c>
      <c r="M223" s="5" t="str">
        <f>IF([1]Employees!$I223&gt;=90000, "High", "Low")</f>
        <v>Low</v>
      </c>
      <c r="N223" s="6" t="str" cm="1">
        <f t="array" ref="N223">_xlfn.IFS([1]Employees!$I223&gt;=90000, "High", [1]Employees!$I223&gt;=50000, "Medium", [1]Employees!$I223&lt;50000, "Low")</f>
        <v>Low</v>
      </c>
      <c r="O223" s="15" t="str">
        <f>IF([1]Employees!$I223&gt;=90000, "High", IF([1]Employees!$I223&gt;=50000, "Medium", "Low"))</f>
        <v>Low</v>
      </c>
    </row>
    <row r="224" spans="1:15" x14ac:dyDescent="0.3">
      <c r="A224" s="4" t="s">
        <v>707</v>
      </c>
      <c r="B224" s="4" t="s">
        <v>61</v>
      </c>
      <c r="C224" s="4" t="s">
        <v>48</v>
      </c>
      <c r="D224" s="4" t="s">
        <v>27</v>
      </c>
      <c r="E224" s="4">
        <v>56</v>
      </c>
      <c r="F224" s="4" t="s">
        <v>53</v>
      </c>
      <c r="G224" s="4" t="s">
        <v>29</v>
      </c>
      <c r="H224" s="4" t="s">
        <v>708</v>
      </c>
      <c r="I224" s="4">
        <v>99157</v>
      </c>
      <c r="J224" s="4" t="s">
        <v>63</v>
      </c>
      <c r="K224" s="4" t="s">
        <v>709</v>
      </c>
      <c r="L224" s="4" t="s">
        <v>39</v>
      </c>
      <c r="M224" s="5" t="str">
        <f>IF([1]Employees!$I224&gt;=90000, "High", "Low")</f>
        <v>High</v>
      </c>
      <c r="N224" s="6" t="str" cm="1">
        <f t="array" ref="N224">_xlfn.IFS([1]Employees!$I224&gt;=90000, "High", [1]Employees!$I224&gt;=50000, "Medium", [1]Employees!$I224&lt;50000, "Low")</f>
        <v>High</v>
      </c>
      <c r="O224" s="15" t="str">
        <f>IF([1]Employees!$I224&gt;=90000, "High", IF([1]Employees!$I224&gt;=50000, "Medium", "Low"))</f>
        <v>High</v>
      </c>
    </row>
    <row r="225" spans="1:15" x14ac:dyDescent="0.3">
      <c r="A225" s="4" t="s">
        <v>710</v>
      </c>
      <c r="B225" s="4" t="s">
        <v>61</v>
      </c>
      <c r="C225" s="4" t="s">
        <v>168</v>
      </c>
      <c r="D225" s="4" t="s">
        <v>27</v>
      </c>
      <c r="E225" s="4">
        <v>42</v>
      </c>
      <c r="F225" s="4" t="s">
        <v>42</v>
      </c>
      <c r="G225" s="4" t="s">
        <v>43</v>
      </c>
      <c r="H225" s="4" t="s">
        <v>711</v>
      </c>
      <c r="I225" s="4">
        <v>81470</v>
      </c>
      <c r="J225" s="4" t="s">
        <v>37</v>
      </c>
      <c r="K225" s="4" t="s">
        <v>712</v>
      </c>
      <c r="L225" s="4" t="s">
        <v>24</v>
      </c>
      <c r="M225" s="5" t="str">
        <f>IF([1]Employees!$I225&gt;=90000, "High", "Low")</f>
        <v>Low</v>
      </c>
      <c r="N225" s="6" t="str" cm="1">
        <f t="array" ref="N225">_xlfn.IFS([1]Employees!$I225&gt;=90000, "High", [1]Employees!$I225&gt;=50000, "Medium", [1]Employees!$I225&lt;50000, "Low")</f>
        <v>Medium</v>
      </c>
      <c r="O225" s="15" t="str">
        <f>IF([1]Employees!$I225&gt;=90000, "High", IF([1]Employees!$I225&gt;=50000, "Medium", "Low"))</f>
        <v>Medium</v>
      </c>
    </row>
    <row r="226" spans="1:15" x14ac:dyDescent="0.3">
      <c r="A226" s="4" t="s">
        <v>713</v>
      </c>
      <c r="B226" s="4" t="s">
        <v>41</v>
      </c>
      <c r="C226" s="4" t="s">
        <v>86</v>
      </c>
      <c r="D226" s="4" t="s">
        <v>27</v>
      </c>
      <c r="E226" s="4">
        <v>23</v>
      </c>
      <c r="F226" s="4" t="s">
        <v>34</v>
      </c>
      <c r="G226" s="4" t="s">
        <v>43</v>
      </c>
      <c r="H226" s="4" t="s">
        <v>714</v>
      </c>
      <c r="I226" s="4">
        <v>98738</v>
      </c>
      <c r="J226" s="4" t="s">
        <v>68</v>
      </c>
      <c r="K226" s="4" t="s">
        <v>715</v>
      </c>
      <c r="L226" s="4" t="s">
        <v>39</v>
      </c>
      <c r="M226" s="5" t="str">
        <f>IF([1]Employees!$I226&gt;=90000, "High", "Low")</f>
        <v>High</v>
      </c>
      <c r="N226" s="6" t="str" cm="1">
        <f t="array" ref="N226">_xlfn.IFS([1]Employees!$I226&gt;=90000, "High", [1]Employees!$I226&gt;=50000, "Medium", [1]Employees!$I226&lt;50000, "Low")</f>
        <v>High</v>
      </c>
      <c r="O226" s="15" t="str">
        <f>IF([1]Employees!$I226&gt;=90000, "High", IF([1]Employees!$I226&gt;=50000, "Medium", "Low"))</f>
        <v>High</v>
      </c>
    </row>
    <row r="227" spans="1:15" x14ac:dyDescent="0.3">
      <c r="A227" s="4" t="s">
        <v>716</v>
      </c>
      <c r="B227" s="4" t="s">
        <v>33</v>
      </c>
      <c r="C227" s="4" t="s">
        <v>48</v>
      </c>
      <c r="D227" s="4" t="s">
        <v>18</v>
      </c>
      <c r="E227" s="4">
        <v>45</v>
      </c>
      <c r="F227" s="4" t="s">
        <v>28</v>
      </c>
      <c r="G227" s="4" t="s">
        <v>35</v>
      </c>
      <c r="H227" s="4" t="s">
        <v>717</v>
      </c>
      <c r="I227" s="4">
        <v>69768</v>
      </c>
      <c r="J227" s="4" t="s">
        <v>22</v>
      </c>
      <c r="K227" s="4" t="s">
        <v>718</v>
      </c>
      <c r="L227" s="4" t="s">
        <v>39</v>
      </c>
      <c r="M227" s="5" t="str">
        <f>IF([1]Employees!$I227&gt;=90000, "High", "Low")</f>
        <v>Low</v>
      </c>
      <c r="N227" s="6" t="str" cm="1">
        <f t="array" ref="N227">_xlfn.IFS([1]Employees!$I227&gt;=90000, "High", [1]Employees!$I227&gt;=50000, "Medium", [1]Employees!$I227&lt;50000, "Low")</f>
        <v>Medium</v>
      </c>
      <c r="O227" s="15" t="str">
        <f>IF([1]Employees!$I227&gt;=90000, "High", IF([1]Employees!$I227&gt;=50000, "Medium", "Low"))</f>
        <v>Medium</v>
      </c>
    </row>
    <row r="228" spans="1:15" x14ac:dyDescent="0.3">
      <c r="A228" s="4" t="s">
        <v>719</v>
      </c>
      <c r="B228" s="4" t="s">
        <v>97</v>
      </c>
      <c r="C228" s="4" t="s">
        <v>81</v>
      </c>
      <c r="D228" s="4" t="s">
        <v>27</v>
      </c>
      <c r="E228" s="4">
        <v>47</v>
      </c>
      <c r="F228" s="4" t="s">
        <v>42</v>
      </c>
      <c r="G228" s="4" t="s">
        <v>35</v>
      </c>
      <c r="H228" s="4" t="s">
        <v>720</v>
      </c>
      <c r="I228" s="4">
        <v>78816</v>
      </c>
      <c r="J228" s="4" t="s">
        <v>37</v>
      </c>
      <c r="K228" s="4" t="s">
        <v>721</v>
      </c>
      <c r="L228" s="4" t="s">
        <v>39</v>
      </c>
      <c r="M228" s="5" t="str">
        <f>IF([1]Employees!$I228&gt;=90000, "High", "Low")</f>
        <v>Low</v>
      </c>
      <c r="N228" s="6" t="str" cm="1">
        <f t="array" ref="N228">_xlfn.IFS([1]Employees!$I228&gt;=90000, "High", [1]Employees!$I228&gt;=50000, "Medium", [1]Employees!$I228&lt;50000, "Low")</f>
        <v>Medium</v>
      </c>
      <c r="O228" s="15" t="str">
        <f>IF([1]Employees!$I228&gt;=90000, "High", IF([1]Employees!$I228&gt;=50000, "Medium", "Low"))</f>
        <v>Medium</v>
      </c>
    </row>
    <row r="229" spans="1:15" x14ac:dyDescent="0.3">
      <c r="A229" s="4" t="s">
        <v>722</v>
      </c>
      <c r="B229" s="4" t="s">
        <v>146</v>
      </c>
      <c r="C229" s="4" t="s">
        <v>168</v>
      </c>
      <c r="D229" s="4" t="s">
        <v>27</v>
      </c>
      <c r="E229" s="4">
        <v>30</v>
      </c>
      <c r="F229" s="4" t="s">
        <v>34</v>
      </c>
      <c r="G229" s="4" t="s">
        <v>111</v>
      </c>
      <c r="H229" s="4" t="s">
        <v>723</v>
      </c>
      <c r="I229" s="4">
        <v>39186</v>
      </c>
      <c r="J229" s="4" t="s">
        <v>22</v>
      </c>
      <c r="K229" s="4" t="s">
        <v>724</v>
      </c>
      <c r="L229" s="4" t="s">
        <v>24</v>
      </c>
      <c r="M229" s="5" t="str">
        <f>IF([1]Employees!$I229&gt;=90000, "High", "Low")</f>
        <v>Low</v>
      </c>
      <c r="N229" s="6" t="str" cm="1">
        <f t="array" ref="N229">_xlfn.IFS([1]Employees!$I229&gt;=90000, "High", [1]Employees!$I229&gt;=50000, "Medium", [1]Employees!$I229&lt;50000, "Low")</f>
        <v>Low</v>
      </c>
      <c r="O229" s="15" t="str">
        <f>IF([1]Employees!$I229&gt;=90000, "High", IF([1]Employees!$I229&gt;=50000, "Medium", "Low"))</f>
        <v>Low</v>
      </c>
    </row>
    <row r="230" spans="1:15" x14ac:dyDescent="0.3">
      <c r="A230" s="4" t="s">
        <v>725</v>
      </c>
      <c r="B230" s="4" t="s">
        <v>47</v>
      </c>
      <c r="C230" s="4" t="s">
        <v>168</v>
      </c>
      <c r="D230" s="4" t="s">
        <v>18</v>
      </c>
      <c r="E230" s="4">
        <v>57</v>
      </c>
      <c r="F230" s="4" t="s">
        <v>19</v>
      </c>
      <c r="G230" s="4" t="s">
        <v>43</v>
      </c>
      <c r="H230" s="4" t="s">
        <v>726</v>
      </c>
      <c r="I230" s="4">
        <v>90363</v>
      </c>
      <c r="J230" s="4" t="s">
        <v>63</v>
      </c>
      <c r="K230" s="4" t="s">
        <v>727</v>
      </c>
      <c r="L230" s="4" t="s">
        <v>39</v>
      </c>
      <c r="M230" s="5" t="str">
        <f>IF([1]Employees!$I230&gt;=90000, "High", "Low")</f>
        <v>High</v>
      </c>
      <c r="N230" s="6" t="str" cm="1">
        <f t="array" ref="N230">_xlfn.IFS([1]Employees!$I230&gt;=90000, "High", [1]Employees!$I230&gt;=50000, "Medium", [1]Employees!$I230&lt;50000, "Low")</f>
        <v>High</v>
      </c>
      <c r="O230" s="15" t="str">
        <f>IF([1]Employees!$I230&gt;=90000, "High", IF([1]Employees!$I230&gt;=50000, "Medium", "Low"))</f>
        <v>High</v>
      </c>
    </row>
    <row r="231" spans="1:15" x14ac:dyDescent="0.3">
      <c r="A231" s="4" t="s">
        <v>728</v>
      </c>
      <c r="B231" s="4" t="s">
        <v>41</v>
      </c>
      <c r="C231" s="4" t="s">
        <v>81</v>
      </c>
      <c r="D231" s="4" t="s">
        <v>18</v>
      </c>
      <c r="E231" s="4">
        <v>56</v>
      </c>
      <c r="F231" s="4" t="s">
        <v>19</v>
      </c>
      <c r="G231" s="4" t="s">
        <v>29</v>
      </c>
      <c r="H231" s="4" t="s">
        <v>729</v>
      </c>
      <c r="I231" s="4">
        <v>86374</v>
      </c>
      <c r="J231" s="4" t="s">
        <v>22</v>
      </c>
      <c r="K231" s="4" t="s">
        <v>730</v>
      </c>
      <c r="L231" s="4" t="s">
        <v>39</v>
      </c>
      <c r="M231" s="5" t="str">
        <f>IF([1]Employees!$I231&gt;=90000, "High", "Low")</f>
        <v>Low</v>
      </c>
      <c r="N231" s="6" t="str" cm="1">
        <f t="array" ref="N231">_xlfn.IFS([1]Employees!$I231&gt;=90000, "High", [1]Employees!$I231&gt;=50000, "Medium", [1]Employees!$I231&lt;50000, "Low")</f>
        <v>Medium</v>
      </c>
      <c r="O231" s="15" t="str">
        <f>IF([1]Employees!$I231&gt;=90000, "High", IF([1]Employees!$I231&gt;=50000, "Medium", "Low"))</f>
        <v>Medium</v>
      </c>
    </row>
    <row r="232" spans="1:15" x14ac:dyDescent="0.3">
      <c r="A232" s="4" t="s">
        <v>731</v>
      </c>
      <c r="B232" s="4" t="s">
        <v>97</v>
      </c>
      <c r="C232" s="4" t="s">
        <v>26</v>
      </c>
      <c r="D232" s="4" t="s">
        <v>18</v>
      </c>
      <c r="E232" s="4">
        <v>28</v>
      </c>
      <c r="F232" s="4" t="s">
        <v>28</v>
      </c>
      <c r="G232" s="4" t="s">
        <v>111</v>
      </c>
      <c r="H232" s="4" t="s">
        <v>732</v>
      </c>
      <c r="I232" s="4">
        <v>51057</v>
      </c>
      <c r="J232" s="4" t="s">
        <v>37</v>
      </c>
      <c r="K232" s="4" t="s">
        <v>733</v>
      </c>
      <c r="L232" s="4" t="s">
        <v>24</v>
      </c>
      <c r="M232" s="5" t="str">
        <f>IF([1]Employees!$I232&gt;=90000, "High", "Low")</f>
        <v>Low</v>
      </c>
      <c r="N232" s="6" t="str" cm="1">
        <f t="array" ref="N232">_xlfn.IFS([1]Employees!$I232&gt;=90000, "High", [1]Employees!$I232&gt;=50000, "Medium", [1]Employees!$I232&lt;50000, "Low")</f>
        <v>Medium</v>
      </c>
      <c r="O232" s="15" t="str">
        <f>IF([1]Employees!$I232&gt;=90000, "High", IF([1]Employees!$I232&gt;=50000, "Medium", "Low"))</f>
        <v>Medium</v>
      </c>
    </row>
    <row r="233" spans="1:15" x14ac:dyDescent="0.3">
      <c r="A233" s="4" t="s">
        <v>734</v>
      </c>
      <c r="B233" s="4" t="s">
        <v>16</v>
      </c>
      <c r="C233" s="4" t="s">
        <v>86</v>
      </c>
      <c r="D233" s="4" t="s">
        <v>18</v>
      </c>
      <c r="E233" s="4">
        <v>55</v>
      </c>
      <c r="F233" s="4" t="s">
        <v>53</v>
      </c>
      <c r="G233" s="4" t="s">
        <v>20</v>
      </c>
      <c r="H233" s="4" t="s">
        <v>735</v>
      </c>
      <c r="I233" s="4">
        <v>94146</v>
      </c>
      <c r="J233" s="4" t="s">
        <v>63</v>
      </c>
      <c r="K233" s="4" t="s">
        <v>736</v>
      </c>
      <c r="L233" s="4" t="s">
        <v>39</v>
      </c>
      <c r="M233" s="5" t="str">
        <f>IF([1]Employees!$I233&gt;=90000, "High", "Low")</f>
        <v>High</v>
      </c>
      <c r="N233" s="6" t="str" cm="1">
        <f t="array" ref="N233">_xlfn.IFS([1]Employees!$I233&gt;=90000, "High", [1]Employees!$I233&gt;=50000, "Medium", [1]Employees!$I233&lt;50000, "Low")</f>
        <v>High</v>
      </c>
      <c r="O233" s="15" t="str">
        <f>IF([1]Employees!$I233&gt;=90000, "High", IF([1]Employees!$I233&gt;=50000, "Medium", "Low"))</f>
        <v>High</v>
      </c>
    </row>
    <row r="234" spans="1:15" x14ac:dyDescent="0.3">
      <c r="A234" s="4" t="s">
        <v>737</v>
      </c>
      <c r="B234" s="4" t="s">
        <v>41</v>
      </c>
      <c r="C234" s="4" t="s">
        <v>17</v>
      </c>
      <c r="D234" s="4" t="s">
        <v>27</v>
      </c>
      <c r="E234" s="4">
        <v>33</v>
      </c>
      <c r="F234" s="4" t="s">
        <v>53</v>
      </c>
      <c r="G234" s="4" t="s">
        <v>111</v>
      </c>
      <c r="H234" s="4" t="s">
        <v>738</v>
      </c>
      <c r="I234" s="4">
        <v>102836</v>
      </c>
      <c r="J234" s="4" t="s">
        <v>63</v>
      </c>
      <c r="K234" s="4" t="s">
        <v>739</v>
      </c>
      <c r="L234" s="4" t="s">
        <v>24</v>
      </c>
      <c r="M234" s="5" t="str">
        <f>IF([1]Employees!$I234&gt;=90000, "High", "Low")</f>
        <v>High</v>
      </c>
      <c r="N234" s="6" t="str" cm="1">
        <f t="array" ref="N234">_xlfn.IFS([1]Employees!$I234&gt;=90000, "High", [1]Employees!$I234&gt;=50000, "Medium", [1]Employees!$I234&lt;50000, "Low")</f>
        <v>High</v>
      </c>
      <c r="O234" s="15" t="str">
        <f>IF([1]Employees!$I234&gt;=90000, "High", IF([1]Employees!$I234&gt;=50000, "Medium", "Low"))</f>
        <v>High</v>
      </c>
    </row>
    <row r="235" spans="1:15" x14ac:dyDescent="0.3">
      <c r="A235" s="4" t="s">
        <v>740</v>
      </c>
      <c r="B235" s="4" t="s">
        <v>97</v>
      </c>
      <c r="C235" s="4" t="s">
        <v>26</v>
      </c>
      <c r="D235" s="4" t="s">
        <v>27</v>
      </c>
      <c r="E235" s="4">
        <v>28</v>
      </c>
      <c r="F235" s="4" t="s">
        <v>53</v>
      </c>
      <c r="G235" s="4" t="s">
        <v>29</v>
      </c>
      <c r="H235" s="4" t="s">
        <v>741</v>
      </c>
      <c r="I235" s="4">
        <v>56052</v>
      </c>
      <c r="J235" s="4" t="s">
        <v>68</v>
      </c>
      <c r="K235" s="4" t="s">
        <v>742</v>
      </c>
      <c r="L235" s="4" t="s">
        <v>39</v>
      </c>
      <c r="M235" s="5" t="str">
        <f>IF([1]Employees!$I235&gt;=90000, "High", "Low")</f>
        <v>Low</v>
      </c>
      <c r="N235" s="6" t="str" cm="1">
        <f t="array" ref="N235">_xlfn.IFS([1]Employees!$I235&gt;=90000, "High", [1]Employees!$I235&gt;=50000, "Medium", [1]Employees!$I235&lt;50000, "Low")</f>
        <v>Medium</v>
      </c>
      <c r="O235" s="15" t="str">
        <f>IF([1]Employees!$I235&gt;=90000, "High", IF([1]Employees!$I235&gt;=50000, "Medium", "Low"))</f>
        <v>Medium</v>
      </c>
    </row>
    <row r="236" spans="1:15" x14ac:dyDescent="0.3">
      <c r="A236" s="4" t="s">
        <v>743</v>
      </c>
      <c r="B236" s="4" t="s">
        <v>47</v>
      </c>
      <c r="C236" s="4" t="s">
        <v>48</v>
      </c>
      <c r="D236" s="4" t="s">
        <v>18</v>
      </c>
      <c r="E236" s="4">
        <v>56</v>
      </c>
      <c r="F236" s="4" t="s">
        <v>28</v>
      </c>
      <c r="G236" s="4" t="s">
        <v>111</v>
      </c>
      <c r="H236" s="4" t="s">
        <v>744</v>
      </c>
      <c r="I236" s="4">
        <v>106491</v>
      </c>
      <c r="J236" s="4" t="s">
        <v>22</v>
      </c>
      <c r="K236" s="4" t="s">
        <v>745</v>
      </c>
      <c r="L236" s="4" t="s">
        <v>39</v>
      </c>
      <c r="M236" s="5" t="str">
        <f>IF([1]Employees!$I236&gt;=90000, "High", "Low")</f>
        <v>High</v>
      </c>
      <c r="N236" s="6" t="str" cm="1">
        <f t="array" ref="N236">_xlfn.IFS([1]Employees!$I236&gt;=90000, "High", [1]Employees!$I236&gt;=50000, "Medium", [1]Employees!$I236&lt;50000, "Low")</f>
        <v>High</v>
      </c>
      <c r="O236" s="15" t="str">
        <f>IF([1]Employees!$I236&gt;=90000, "High", IF([1]Employees!$I236&gt;=50000, "Medium", "Low"))</f>
        <v>High</v>
      </c>
    </row>
    <row r="237" spans="1:15" x14ac:dyDescent="0.3">
      <c r="A237" s="4" t="s">
        <v>746</v>
      </c>
      <c r="B237" s="4" t="s">
        <v>61</v>
      </c>
      <c r="C237" s="4" t="s">
        <v>168</v>
      </c>
      <c r="D237" s="4" t="s">
        <v>27</v>
      </c>
      <c r="E237" s="4">
        <v>48</v>
      </c>
      <c r="F237" s="4" t="s">
        <v>34</v>
      </c>
      <c r="G237" s="4" t="s">
        <v>111</v>
      </c>
      <c r="H237" s="4" t="s">
        <v>747</v>
      </c>
      <c r="I237" s="4">
        <v>36633</v>
      </c>
      <c r="J237" s="4" t="s">
        <v>63</v>
      </c>
      <c r="K237" s="4" t="s">
        <v>748</v>
      </c>
      <c r="L237" s="4" t="s">
        <v>39</v>
      </c>
      <c r="M237" s="5" t="str">
        <f>IF([1]Employees!$I237&gt;=90000, "High", "Low")</f>
        <v>Low</v>
      </c>
      <c r="N237" s="6" t="str" cm="1">
        <f t="array" ref="N237">_xlfn.IFS([1]Employees!$I237&gt;=90000, "High", [1]Employees!$I237&gt;=50000, "Medium", [1]Employees!$I237&lt;50000, "Low")</f>
        <v>Low</v>
      </c>
      <c r="O237" s="15" t="str">
        <f>IF([1]Employees!$I237&gt;=90000, "High", IF([1]Employees!$I237&gt;=50000, "Medium", "Low"))</f>
        <v>Low</v>
      </c>
    </row>
    <row r="238" spans="1:15" x14ac:dyDescent="0.3">
      <c r="A238" s="4" t="s">
        <v>749</v>
      </c>
      <c r="B238" s="4" t="s">
        <v>33</v>
      </c>
      <c r="C238" s="4" t="s">
        <v>48</v>
      </c>
      <c r="D238" s="4" t="s">
        <v>18</v>
      </c>
      <c r="E238" s="4">
        <v>50</v>
      </c>
      <c r="F238" s="4" t="s">
        <v>28</v>
      </c>
      <c r="G238" s="4" t="s">
        <v>29</v>
      </c>
      <c r="H238" s="4" t="s">
        <v>750</v>
      </c>
      <c r="I238" s="4">
        <v>109744</v>
      </c>
      <c r="J238" s="4" t="s">
        <v>22</v>
      </c>
      <c r="K238" s="4" t="s">
        <v>751</v>
      </c>
      <c r="L238" s="4" t="s">
        <v>39</v>
      </c>
      <c r="M238" s="5" t="str">
        <f>IF([1]Employees!$I238&gt;=90000, "High", "Low")</f>
        <v>High</v>
      </c>
      <c r="N238" s="6" t="str" cm="1">
        <f t="array" ref="N238">_xlfn.IFS([1]Employees!$I238&gt;=90000, "High", [1]Employees!$I238&gt;=50000, "Medium", [1]Employees!$I238&lt;50000, "Low")</f>
        <v>High</v>
      </c>
      <c r="O238" s="15" t="str">
        <f>IF([1]Employees!$I238&gt;=90000, "High", IF([1]Employees!$I238&gt;=50000, "Medium", "Low"))</f>
        <v>High</v>
      </c>
    </row>
    <row r="239" spans="1:15" x14ac:dyDescent="0.3">
      <c r="A239" s="4" t="s">
        <v>752</v>
      </c>
      <c r="B239" s="4" t="s">
        <v>16</v>
      </c>
      <c r="C239" s="4" t="s">
        <v>168</v>
      </c>
      <c r="D239" s="4" t="s">
        <v>18</v>
      </c>
      <c r="E239" s="4">
        <v>57</v>
      </c>
      <c r="F239" s="4" t="s">
        <v>34</v>
      </c>
      <c r="G239" s="4" t="s">
        <v>43</v>
      </c>
      <c r="H239" s="4" t="s">
        <v>753</v>
      </c>
      <c r="I239" s="4">
        <v>44217</v>
      </c>
      <c r="J239" s="4" t="s">
        <v>22</v>
      </c>
      <c r="K239" s="4" t="s">
        <v>754</v>
      </c>
      <c r="L239" s="4" t="s">
        <v>39</v>
      </c>
      <c r="M239" s="5" t="str">
        <f>IF([1]Employees!$I239&gt;=90000, "High", "Low")</f>
        <v>Low</v>
      </c>
      <c r="N239" s="6" t="str" cm="1">
        <f t="array" ref="N239">_xlfn.IFS([1]Employees!$I239&gt;=90000, "High", [1]Employees!$I239&gt;=50000, "Medium", [1]Employees!$I239&lt;50000, "Low")</f>
        <v>Low</v>
      </c>
      <c r="O239" s="15" t="str">
        <f>IF([1]Employees!$I239&gt;=90000, "High", IF([1]Employees!$I239&gt;=50000, "Medium", "Low"))</f>
        <v>Low</v>
      </c>
    </row>
    <row r="240" spans="1:15" x14ac:dyDescent="0.3">
      <c r="A240" s="4" t="s">
        <v>755</v>
      </c>
      <c r="B240" s="4" t="s">
        <v>146</v>
      </c>
      <c r="C240" s="4" t="s">
        <v>93</v>
      </c>
      <c r="D240" s="4" t="s">
        <v>27</v>
      </c>
      <c r="E240" s="4">
        <v>28</v>
      </c>
      <c r="F240" s="4" t="s">
        <v>53</v>
      </c>
      <c r="G240" s="4" t="s">
        <v>20</v>
      </c>
      <c r="H240" s="4" t="s">
        <v>756</v>
      </c>
      <c r="I240" s="4">
        <v>40758</v>
      </c>
      <c r="J240" s="4" t="s">
        <v>83</v>
      </c>
      <c r="K240" s="4" t="s">
        <v>757</v>
      </c>
      <c r="L240" s="4" t="s">
        <v>24</v>
      </c>
      <c r="M240" s="5" t="str">
        <f>IF([1]Employees!$I240&gt;=90000, "High", "Low")</f>
        <v>Low</v>
      </c>
      <c r="N240" s="6" t="str" cm="1">
        <f t="array" ref="N240">_xlfn.IFS([1]Employees!$I240&gt;=90000, "High", [1]Employees!$I240&gt;=50000, "Medium", [1]Employees!$I240&lt;50000, "Low")</f>
        <v>Low</v>
      </c>
      <c r="O240" s="15" t="str">
        <f>IF([1]Employees!$I240&gt;=90000, "High", IF([1]Employees!$I240&gt;=50000, "Medium", "Low"))</f>
        <v>Low</v>
      </c>
    </row>
    <row r="241" spans="1:15" x14ac:dyDescent="0.3">
      <c r="A241" s="4" t="s">
        <v>758</v>
      </c>
      <c r="B241" s="4" t="s">
        <v>33</v>
      </c>
      <c r="C241" s="4" t="s">
        <v>98</v>
      </c>
      <c r="D241" s="4" t="s">
        <v>18</v>
      </c>
      <c r="E241" s="4">
        <v>59</v>
      </c>
      <c r="F241" s="4" t="s">
        <v>53</v>
      </c>
      <c r="G241" s="4" t="s">
        <v>43</v>
      </c>
      <c r="H241" s="4" t="s">
        <v>759</v>
      </c>
      <c r="I241" s="4">
        <v>49878</v>
      </c>
      <c r="J241" s="4" t="s">
        <v>68</v>
      </c>
      <c r="K241" s="4" t="s">
        <v>760</v>
      </c>
      <c r="L241" s="4" t="s">
        <v>24</v>
      </c>
      <c r="M241" s="5" t="str">
        <f>IF([1]Employees!$I241&gt;=90000, "High", "Low")</f>
        <v>Low</v>
      </c>
      <c r="N241" s="6" t="str" cm="1">
        <f t="array" ref="N241">_xlfn.IFS([1]Employees!$I241&gt;=90000, "High", [1]Employees!$I241&gt;=50000, "Medium", [1]Employees!$I241&lt;50000, "Low")</f>
        <v>Low</v>
      </c>
      <c r="O241" s="15" t="str">
        <f>IF([1]Employees!$I241&gt;=90000, "High", IF([1]Employees!$I241&gt;=50000, "Medium", "Low"))</f>
        <v>Low</v>
      </c>
    </row>
    <row r="242" spans="1:15" x14ac:dyDescent="0.3">
      <c r="A242" s="4" t="s">
        <v>761</v>
      </c>
      <c r="B242" s="4" t="s">
        <v>57</v>
      </c>
      <c r="C242" s="4" t="s">
        <v>133</v>
      </c>
      <c r="D242" s="4" t="s">
        <v>18</v>
      </c>
      <c r="E242" s="4">
        <v>48</v>
      </c>
      <c r="F242" s="4" t="s">
        <v>34</v>
      </c>
      <c r="G242" s="4" t="s">
        <v>111</v>
      </c>
      <c r="H242" s="4" t="s">
        <v>762</v>
      </c>
      <c r="I242" s="4">
        <v>95831</v>
      </c>
      <c r="J242" s="4" t="s">
        <v>63</v>
      </c>
      <c r="K242" s="4" t="s">
        <v>763</v>
      </c>
      <c r="L242" s="4" t="s">
        <v>39</v>
      </c>
      <c r="M242" s="5" t="str">
        <f>IF([1]Employees!$I242&gt;=90000, "High", "Low")</f>
        <v>High</v>
      </c>
      <c r="N242" s="6" t="str" cm="1">
        <f t="array" ref="N242">_xlfn.IFS([1]Employees!$I242&gt;=90000, "High", [1]Employees!$I242&gt;=50000, "Medium", [1]Employees!$I242&lt;50000, "Low")</f>
        <v>High</v>
      </c>
      <c r="O242" s="15" t="str">
        <f>IF([1]Employees!$I242&gt;=90000, "High", IF([1]Employees!$I242&gt;=50000, "Medium", "Low"))</f>
        <v>High</v>
      </c>
    </row>
    <row r="243" spans="1:15" x14ac:dyDescent="0.3">
      <c r="A243" s="4" t="s">
        <v>764</v>
      </c>
      <c r="B243" s="4" t="s">
        <v>97</v>
      </c>
      <c r="C243" s="4" t="s">
        <v>17</v>
      </c>
      <c r="D243" s="4" t="s">
        <v>18</v>
      </c>
      <c r="E243" s="4">
        <v>22</v>
      </c>
      <c r="F243" s="4" t="s">
        <v>28</v>
      </c>
      <c r="G243" s="4" t="s">
        <v>29</v>
      </c>
      <c r="H243" s="4" t="s">
        <v>765</v>
      </c>
      <c r="I243" s="4">
        <v>106015</v>
      </c>
      <c r="J243" s="4" t="s">
        <v>22</v>
      </c>
      <c r="K243" s="4" t="s">
        <v>766</v>
      </c>
      <c r="L243" s="4" t="s">
        <v>24</v>
      </c>
      <c r="M243" s="5" t="str">
        <f>IF([1]Employees!$I243&gt;=90000, "High", "Low")</f>
        <v>High</v>
      </c>
      <c r="N243" s="6" t="str" cm="1">
        <f t="array" ref="N243">_xlfn.IFS([1]Employees!$I243&gt;=90000, "High", [1]Employees!$I243&gt;=50000, "Medium", [1]Employees!$I243&lt;50000, "Low")</f>
        <v>High</v>
      </c>
      <c r="O243" s="15" t="str">
        <f>IF([1]Employees!$I243&gt;=90000, "High", IF([1]Employees!$I243&gt;=50000, "Medium", "Low"))</f>
        <v>High</v>
      </c>
    </row>
    <row r="244" spans="1:15" x14ac:dyDescent="0.3">
      <c r="A244" s="4" t="s">
        <v>767</v>
      </c>
      <c r="B244" s="4" t="s">
        <v>41</v>
      </c>
      <c r="C244" s="4" t="s">
        <v>48</v>
      </c>
      <c r="D244" s="4" t="s">
        <v>18</v>
      </c>
      <c r="E244" s="4">
        <v>28</v>
      </c>
      <c r="F244" s="4" t="s">
        <v>19</v>
      </c>
      <c r="G244" s="4" t="s">
        <v>20</v>
      </c>
      <c r="H244" s="4" t="s">
        <v>768</v>
      </c>
      <c r="I244" s="4">
        <v>100388</v>
      </c>
      <c r="J244" s="4" t="s">
        <v>83</v>
      </c>
      <c r="K244" s="4" t="s">
        <v>769</v>
      </c>
      <c r="L244" s="4" t="s">
        <v>24</v>
      </c>
      <c r="M244" s="5" t="str">
        <f>IF([1]Employees!$I244&gt;=90000, "High", "Low")</f>
        <v>High</v>
      </c>
      <c r="N244" s="6" t="str" cm="1">
        <f t="array" ref="N244">_xlfn.IFS([1]Employees!$I244&gt;=90000, "High", [1]Employees!$I244&gt;=50000, "Medium", [1]Employees!$I244&lt;50000, "Low")</f>
        <v>High</v>
      </c>
      <c r="O244" s="15" t="str">
        <f>IF([1]Employees!$I244&gt;=90000, "High", IF([1]Employees!$I244&gt;=50000, "Medium", "Low"))</f>
        <v>High</v>
      </c>
    </row>
    <row r="245" spans="1:15" x14ac:dyDescent="0.3">
      <c r="A245" s="4" t="s">
        <v>770</v>
      </c>
      <c r="B245" s="4" t="s">
        <v>33</v>
      </c>
      <c r="C245" s="4" t="s">
        <v>93</v>
      </c>
      <c r="D245" s="4" t="s">
        <v>27</v>
      </c>
      <c r="E245" s="4">
        <v>47</v>
      </c>
      <c r="F245" s="4" t="s">
        <v>42</v>
      </c>
      <c r="G245" s="4" t="s">
        <v>29</v>
      </c>
      <c r="H245" s="4" t="s">
        <v>169</v>
      </c>
      <c r="I245" s="4">
        <v>60932</v>
      </c>
      <c r="J245" s="4" t="s">
        <v>83</v>
      </c>
      <c r="K245" s="4" t="s">
        <v>771</v>
      </c>
      <c r="L245" s="4" t="s">
        <v>39</v>
      </c>
      <c r="M245" s="5" t="str">
        <f>IF([1]Employees!$I245&gt;=90000, "High", "Low")</f>
        <v>Low</v>
      </c>
      <c r="N245" s="6" t="str" cm="1">
        <f t="array" ref="N245">_xlfn.IFS([1]Employees!$I245&gt;=90000, "High", [1]Employees!$I245&gt;=50000, "Medium", [1]Employees!$I245&lt;50000, "Low")</f>
        <v>Medium</v>
      </c>
      <c r="O245" s="15" t="str">
        <f>IF([1]Employees!$I245&gt;=90000, "High", IF([1]Employees!$I245&gt;=50000, "Medium", "Low"))</f>
        <v>Medium</v>
      </c>
    </row>
    <row r="246" spans="1:15" x14ac:dyDescent="0.3">
      <c r="A246" s="4" t="s">
        <v>772</v>
      </c>
      <c r="B246" s="4" t="s">
        <v>52</v>
      </c>
      <c r="C246" s="4" t="s">
        <v>86</v>
      </c>
      <c r="D246" s="4" t="s">
        <v>18</v>
      </c>
      <c r="E246" s="4">
        <v>36</v>
      </c>
      <c r="F246" s="4" t="s">
        <v>42</v>
      </c>
      <c r="G246" s="4" t="s">
        <v>35</v>
      </c>
      <c r="H246" s="4" t="s">
        <v>439</v>
      </c>
      <c r="I246" s="4">
        <v>107818</v>
      </c>
      <c r="J246" s="4" t="s">
        <v>37</v>
      </c>
      <c r="K246" s="4" t="s">
        <v>773</v>
      </c>
      <c r="L246" s="4" t="s">
        <v>24</v>
      </c>
      <c r="M246" s="5" t="str">
        <f>IF([1]Employees!$I246&gt;=90000, "High", "Low")</f>
        <v>High</v>
      </c>
      <c r="N246" s="6" t="str" cm="1">
        <f t="array" ref="N246">_xlfn.IFS([1]Employees!$I246&gt;=90000, "High", [1]Employees!$I246&gt;=50000, "Medium", [1]Employees!$I246&lt;50000, "Low")</f>
        <v>High</v>
      </c>
      <c r="O246" s="15" t="str">
        <f>IF([1]Employees!$I246&gt;=90000, "High", IF([1]Employees!$I246&gt;=50000, "Medium", "Low"))</f>
        <v>High</v>
      </c>
    </row>
    <row r="247" spans="1:15" x14ac:dyDescent="0.3">
      <c r="A247" s="4" t="s">
        <v>774</v>
      </c>
      <c r="B247" s="4" t="s">
        <v>16</v>
      </c>
      <c r="C247" s="4" t="s">
        <v>48</v>
      </c>
      <c r="D247" s="4" t="s">
        <v>27</v>
      </c>
      <c r="E247" s="4">
        <v>49</v>
      </c>
      <c r="F247" s="4" t="s">
        <v>53</v>
      </c>
      <c r="G247" s="4" t="s">
        <v>35</v>
      </c>
      <c r="H247" s="4" t="s">
        <v>775</v>
      </c>
      <c r="I247" s="4">
        <v>95198</v>
      </c>
      <c r="J247" s="4" t="s">
        <v>37</v>
      </c>
      <c r="K247" s="4" t="s">
        <v>776</v>
      </c>
      <c r="L247" s="4" t="s">
        <v>24</v>
      </c>
      <c r="M247" s="5" t="str">
        <f>IF([1]Employees!$I247&gt;=90000, "High", "Low")</f>
        <v>High</v>
      </c>
      <c r="N247" s="6" t="str" cm="1">
        <f t="array" ref="N247">_xlfn.IFS([1]Employees!$I247&gt;=90000, "High", [1]Employees!$I247&gt;=50000, "Medium", [1]Employees!$I247&lt;50000, "Low")</f>
        <v>High</v>
      </c>
      <c r="O247" s="15" t="str">
        <f>IF([1]Employees!$I247&gt;=90000, "High", IF([1]Employees!$I247&gt;=50000, "Medium", "Low"))</f>
        <v>High</v>
      </c>
    </row>
    <row r="248" spans="1:15" x14ac:dyDescent="0.3">
      <c r="A248" s="4" t="s">
        <v>777</v>
      </c>
      <c r="B248" s="4" t="s">
        <v>146</v>
      </c>
      <c r="C248" s="4" t="s">
        <v>133</v>
      </c>
      <c r="D248" s="4" t="s">
        <v>18</v>
      </c>
      <c r="E248" s="4">
        <v>43</v>
      </c>
      <c r="F248" s="4" t="s">
        <v>28</v>
      </c>
      <c r="G248" s="4" t="s">
        <v>43</v>
      </c>
      <c r="H248" s="4" t="s">
        <v>778</v>
      </c>
      <c r="I248" s="4">
        <v>42635</v>
      </c>
      <c r="J248" s="4" t="s">
        <v>22</v>
      </c>
      <c r="K248" s="4" t="s">
        <v>779</v>
      </c>
      <c r="L248" s="4" t="s">
        <v>24</v>
      </c>
      <c r="M248" s="5" t="str">
        <f>IF([1]Employees!$I248&gt;=90000, "High", "Low")</f>
        <v>Low</v>
      </c>
      <c r="N248" s="6" t="str" cm="1">
        <f t="array" ref="N248">_xlfn.IFS([1]Employees!$I248&gt;=90000, "High", [1]Employees!$I248&gt;=50000, "Medium", [1]Employees!$I248&lt;50000, "Low")</f>
        <v>Low</v>
      </c>
      <c r="O248" s="15" t="str">
        <f>IF([1]Employees!$I248&gt;=90000, "High", IF([1]Employees!$I248&gt;=50000, "Medium", "Low"))</f>
        <v>Low</v>
      </c>
    </row>
    <row r="249" spans="1:15" x14ac:dyDescent="0.3">
      <c r="A249" s="4" t="s">
        <v>780</v>
      </c>
      <c r="B249" s="4" t="s">
        <v>47</v>
      </c>
      <c r="C249" s="4" t="s">
        <v>17</v>
      </c>
      <c r="D249" s="4" t="s">
        <v>18</v>
      </c>
      <c r="E249" s="4">
        <v>48</v>
      </c>
      <c r="F249" s="4" t="s">
        <v>19</v>
      </c>
      <c r="G249" s="4" t="s">
        <v>35</v>
      </c>
      <c r="H249" s="4" t="s">
        <v>781</v>
      </c>
      <c r="I249" s="4">
        <v>48738</v>
      </c>
      <c r="J249" s="4" t="s">
        <v>63</v>
      </c>
      <c r="K249" s="4" t="s">
        <v>782</v>
      </c>
      <c r="L249" s="4" t="s">
        <v>24</v>
      </c>
      <c r="M249" s="5" t="str">
        <f>IF([1]Employees!$I249&gt;=90000, "High", "Low")</f>
        <v>Low</v>
      </c>
      <c r="N249" s="6" t="str" cm="1">
        <f t="array" ref="N249">_xlfn.IFS([1]Employees!$I249&gt;=90000, "High", [1]Employees!$I249&gt;=50000, "Medium", [1]Employees!$I249&lt;50000, "Low")</f>
        <v>Low</v>
      </c>
      <c r="O249" s="15" t="str">
        <f>IF([1]Employees!$I249&gt;=90000, "High", IF([1]Employees!$I249&gt;=50000, "Medium", "Low"))</f>
        <v>Low</v>
      </c>
    </row>
    <row r="250" spans="1:15" x14ac:dyDescent="0.3">
      <c r="A250" s="4" t="s">
        <v>783</v>
      </c>
      <c r="B250" s="4" t="s">
        <v>47</v>
      </c>
      <c r="C250" s="4" t="s">
        <v>66</v>
      </c>
      <c r="D250" s="4" t="s">
        <v>18</v>
      </c>
      <c r="E250" s="4">
        <v>23</v>
      </c>
      <c r="F250" s="4" t="s">
        <v>19</v>
      </c>
      <c r="G250" s="4" t="s">
        <v>20</v>
      </c>
      <c r="H250" s="4" t="s">
        <v>368</v>
      </c>
      <c r="I250" s="4">
        <v>64435</v>
      </c>
      <c r="J250" s="4" t="s">
        <v>83</v>
      </c>
      <c r="K250" s="4" t="s">
        <v>784</v>
      </c>
      <c r="L250" s="4" t="s">
        <v>24</v>
      </c>
      <c r="M250" s="5" t="str">
        <f>IF([1]Employees!$I250&gt;=90000, "High", "Low")</f>
        <v>Low</v>
      </c>
      <c r="N250" s="6" t="str" cm="1">
        <f t="array" ref="N250">_xlfn.IFS([1]Employees!$I250&gt;=90000, "High", [1]Employees!$I250&gt;=50000, "Medium", [1]Employees!$I250&lt;50000, "Low")</f>
        <v>Medium</v>
      </c>
      <c r="O250" s="15" t="str">
        <f>IF([1]Employees!$I250&gt;=90000, "High", IF([1]Employees!$I250&gt;=50000, "Medium", "Low"))</f>
        <v>Medium</v>
      </c>
    </row>
    <row r="251" spans="1:15" x14ac:dyDescent="0.3">
      <c r="A251" s="4" t="s">
        <v>785</v>
      </c>
      <c r="B251" s="4" t="s">
        <v>74</v>
      </c>
      <c r="C251" s="4" t="s">
        <v>26</v>
      </c>
      <c r="D251" s="4" t="s">
        <v>27</v>
      </c>
      <c r="E251" s="4">
        <v>55</v>
      </c>
      <c r="F251" s="4" t="s">
        <v>19</v>
      </c>
      <c r="G251" s="4" t="s">
        <v>20</v>
      </c>
      <c r="H251" s="4" t="s">
        <v>786</v>
      </c>
      <c r="I251" s="4">
        <v>116007</v>
      </c>
      <c r="J251" s="4" t="s">
        <v>68</v>
      </c>
      <c r="K251" s="4" t="s">
        <v>787</v>
      </c>
      <c r="L251" s="4" t="s">
        <v>24</v>
      </c>
      <c r="M251" s="5" t="str">
        <f>IF([1]Employees!$I251&gt;=90000, "High", "Low")</f>
        <v>High</v>
      </c>
      <c r="N251" s="6" t="str" cm="1">
        <f t="array" ref="N251">_xlfn.IFS([1]Employees!$I251&gt;=90000, "High", [1]Employees!$I251&gt;=50000, "Medium", [1]Employees!$I251&lt;50000, "Low")</f>
        <v>High</v>
      </c>
      <c r="O251" s="15" t="str">
        <f>IF([1]Employees!$I251&gt;=90000, "High", IF([1]Employees!$I251&gt;=50000, "Medium", "Low"))</f>
        <v>High</v>
      </c>
    </row>
    <row r="252" spans="1:15" x14ac:dyDescent="0.3">
      <c r="A252" s="4" t="s">
        <v>788</v>
      </c>
      <c r="B252" s="4" t="s">
        <v>52</v>
      </c>
      <c r="C252" s="4" t="s">
        <v>93</v>
      </c>
      <c r="D252" s="4" t="s">
        <v>27</v>
      </c>
      <c r="E252" s="4">
        <v>38</v>
      </c>
      <c r="F252" s="4" t="s">
        <v>28</v>
      </c>
      <c r="G252" s="4" t="s">
        <v>29</v>
      </c>
      <c r="H252" s="4" t="s">
        <v>789</v>
      </c>
      <c r="I252" s="4">
        <v>60256</v>
      </c>
      <c r="J252" s="4" t="s">
        <v>63</v>
      </c>
      <c r="K252" s="4" t="s">
        <v>790</v>
      </c>
      <c r="L252" s="4" t="s">
        <v>24</v>
      </c>
      <c r="M252" s="5" t="str">
        <f>IF([1]Employees!$I252&gt;=90000, "High", "Low")</f>
        <v>Low</v>
      </c>
      <c r="N252" s="6" t="str" cm="1">
        <f t="array" ref="N252">_xlfn.IFS([1]Employees!$I252&gt;=90000, "High", [1]Employees!$I252&gt;=50000, "Medium", [1]Employees!$I252&lt;50000, "Low")</f>
        <v>Medium</v>
      </c>
      <c r="O252" s="15" t="str">
        <f>IF([1]Employees!$I252&gt;=90000, "High", IF([1]Employees!$I252&gt;=50000, "Medium", "Low"))</f>
        <v>Medium</v>
      </c>
    </row>
    <row r="253" spans="1:15" x14ac:dyDescent="0.3">
      <c r="A253" s="4" t="s">
        <v>791</v>
      </c>
      <c r="B253" s="4" t="s">
        <v>57</v>
      </c>
      <c r="C253" s="4" t="s">
        <v>168</v>
      </c>
      <c r="D253" s="4" t="s">
        <v>18</v>
      </c>
      <c r="E253" s="4">
        <v>52</v>
      </c>
      <c r="F253" s="4" t="s">
        <v>34</v>
      </c>
      <c r="G253" s="4" t="s">
        <v>43</v>
      </c>
      <c r="H253" s="4" t="s">
        <v>127</v>
      </c>
      <c r="I253" s="4">
        <v>79852</v>
      </c>
      <c r="J253" s="4" t="s">
        <v>37</v>
      </c>
      <c r="K253" s="4" t="s">
        <v>792</v>
      </c>
      <c r="L253" s="4" t="s">
        <v>39</v>
      </c>
      <c r="M253" s="5" t="str">
        <f>IF([1]Employees!$I253&gt;=90000, "High", "Low")</f>
        <v>Low</v>
      </c>
      <c r="N253" s="6" t="str" cm="1">
        <f t="array" ref="N253">_xlfn.IFS([1]Employees!$I253&gt;=90000, "High", [1]Employees!$I253&gt;=50000, "Medium", [1]Employees!$I253&lt;50000, "Low")</f>
        <v>Medium</v>
      </c>
      <c r="O253" s="15" t="str">
        <f>IF([1]Employees!$I253&gt;=90000, "High", IF([1]Employees!$I253&gt;=50000, "Medium", "Low"))</f>
        <v>Medium</v>
      </c>
    </row>
    <row r="254" spans="1:15" x14ac:dyDescent="0.3">
      <c r="A254" s="4" t="s">
        <v>793</v>
      </c>
      <c r="B254" s="4" t="s">
        <v>41</v>
      </c>
      <c r="C254" s="4" t="s">
        <v>98</v>
      </c>
      <c r="D254" s="4" t="s">
        <v>27</v>
      </c>
      <c r="E254" s="4">
        <v>25</v>
      </c>
      <c r="F254" s="4" t="s">
        <v>42</v>
      </c>
      <c r="G254" s="4" t="s">
        <v>29</v>
      </c>
      <c r="H254" s="4" t="s">
        <v>794</v>
      </c>
      <c r="I254" s="4">
        <v>94875</v>
      </c>
      <c r="J254" s="4" t="s">
        <v>63</v>
      </c>
      <c r="K254" s="4" t="s">
        <v>795</v>
      </c>
      <c r="L254" s="4" t="s">
        <v>24</v>
      </c>
      <c r="M254" s="5" t="str">
        <f>IF([1]Employees!$I254&gt;=90000, "High", "Low")</f>
        <v>High</v>
      </c>
      <c r="N254" s="6" t="str" cm="1">
        <f t="array" ref="N254">_xlfn.IFS([1]Employees!$I254&gt;=90000, "High", [1]Employees!$I254&gt;=50000, "Medium", [1]Employees!$I254&lt;50000, "Low")</f>
        <v>High</v>
      </c>
      <c r="O254" s="15" t="str">
        <f>IF([1]Employees!$I254&gt;=90000, "High", IF([1]Employees!$I254&gt;=50000, "Medium", "Low"))</f>
        <v>High</v>
      </c>
    </row>
    <row r="255" spans="1:15" x14ac:dyDescent="0.3">
      <c r="A255" s="4" t="s">
        <v>796</v>
      </c>
      <c r="B255" s="4" t="s">
        <v>41</v>
      </c>
      <c r="C255" s="4" t="s">
        <v>48</v>
      </c>
      <c r="D255" s="4" t="s">
        <v>18</v>
      </c>
      <c r="E255" s="4">
        <v>42</v>
      </c>
      <c r="F255" s="4" t="s">
        <v>28</v>
      </c>
      <c r="G255" s="4" t="s">
        <v>35</v>
      </c>
      <c r="H255" s="4" t="s">
        <v>797</v>
      </c>
      <c r="I255" s="4">
        <v>43197</v>
      </c>
      <c r="J255" s="4" t="s">
        <v>22</v>
      </c>
      <c r="K255" s="4" t="s">
        <v>798</v>
      </c>
      <c r="L255" s="4" t="s">
        <v>39</v>
      </c>
      <c r="M255" s="5" t="str">
        <f>IF([1]Employees!$I255&gt;=90000, "High", "Low")</f>
        <v>Low</v>
      </c>
      <c r="N255" s="6" t="str" cm="1">
        <f t="array" ref="N255">_xlfn.IFS([1]Employees!$I255&gt;=90000, "High", [1]Employees!$I255&gt;=50000, "Medium", [1]Employees!$I255&lt;50000, "Low")</f>
        <v>Low</v>
      </c>
      <c r="O255" s="15" t="str">
        <f>IF([1]Employees!$I255&gt;=90000, "High", IF([1]Employees!$I255&gt;=50000, "Medium", "Low"))</f>
        <v>Low</v>
      </c>
    </row>
    <row r="256" spans="1:15" x14ac:dyDescent="0.3">
      <c r="A256" s="4" t="s">
        <v>799</v>
      </c>
      <c r="B256" s="4" t="s">
        <v>52</v>
      </c>
      <c r="C256" s="4" t="s">
        <v>93</v>
      </c>
      <c r="D256" s="4" t="s">
        <v>27</v>
      </c>
      <c r="E256" s="4">
        <v>32</v>
      </c>
      <c r="F256" s="4" t="s">
        <v>53</v>
      </c>
      <c r="G256" s="4" t="s">
        <v>43</v>
      </c>
      <c r="H256" s="4" t="s">
        <v>800</v>
      </c>
      <c r="I256" s="4">
        <v>117451</v>
      </c>
      <c r="J256" s="4" t="s">
        <v>68</v>
      </c>
      <c r="K256" s="4" t="s">
        <v>801</v>
      </c>
      <c r="L256" s="4" t="s">
        <v>24</v>
      </c>
      <c r="M256" s="5" t="str">
        <f>IF([1]Employees!$I256&gt;=90000, "High", "Low")</f>
        <v>High</v>
      </c>
      <c r="N256" s="6" t="str" cm="1">
        <f t="array" ref="N256">_xlfn.IFS([1]Employees!$I256&gt;=90000, "High", [1]Employees!$I256&gt;=50000, "Medium", [1]Employees!$I256&lt;50000, "Low")</f>
        <v>High</v>
      </c>
      <c r="O256" s="15" t="str">
        <f>IF([1]Employees!$I256&gt;=90000, "High", IF([1]Employees!$I256&gt;=50000, "Medium", "Low"))</f>
        <v>High</v>
      </c>
    </row>
    <row r="257" spans="1:15" x14ac:dyDescent="0.3">
      <c r="A257" s="4" t="s">
        <v>802</v>
      </c>
      <c r="B257" s="4" t="s">
        <v>146</v>
      </c>
      <c r="C257" s="4" t="s">
        <v>133</v>
      </c>
      <c r="D257" s="4" t="s">
        <v>27</v>
      </c>
      <c r="E257" s="4">
        <v>28</v>
      </c>
      <c r="F257" s="4" t="s">
        <v>42</v>
      </c>
      <c r="G257" s="4" t="s">
        <v>43</v>
      </c>
      <c r="H257" s="4" t="s">
        <v>803</v>
      </c>
      <c r="I257" s="4">
        <v>54493</v>
      </c>
      <c r="J257" s="4" t="s">
        <v>68</v>
      </c>
      <c r="K257" s="4" t="s">
        <v>804</v>
      </c>
      <c r="L257" s="4" t="s">
        <v>24</v>
      </c>
      <c r="M257" s="5" t="str">
        <f>IF([1]Employees!$I257&gt;=90000, "High", "Low")</f>
        <v>Low</v>
      </c>
      <c r="N257" s="6" t="str" cm="1">
        <f t="array" ref="N257">_xlfn.IFS([1]Employees!$I257&gt;=90000, "High", [1]Employees!$I257&gt;=50000, "Medium", [1]Employees!$I257&lt;50000, "Low")</f>
        <v>Medium</v>
      </c>
      <c r="O257" s="15" t="str">
        <f>IF([1]Employees!$I257&gt;=90000, "High", IF([1]Employees!$I257&gt;=50000, "Medium", "Low"))</f>
        <v>Medium</v>
      </c>
    </row>
    <row r="258" spans="1:15" x14ac:dyDescent="0.3">
      <c r="A258" s="4" t="s">
        <v>805</v>
      </c>
      <c r="B258" s="4" t="s">
        <v>146</v>
      </c>
      <c r="C258" s="4" t="s">
        <v>81</v>
      </c>
      <c r="D258" s="4" t="s">
        <v>18</v>
      </c>
      <c r="E258" s="4">
        <v>55</v>
      </c>
      <c r="F258" s="4" t="s">
        <v>42</v>
      </c>
      <c r="G258" s="4" t="s">
        <v>35</v>
      </c>
      <c r="H258" s="4" t="s">
        <v>806</v>
      </c>
      <c r="I258" s="4">
        <v>68822</v>
      </c>
      <c r="J258" s="4" t="s">
        <v>37</v>
      </c>
      <c r="K258" s="4" t="s">
        <v>807</v>
      </c>
      <c r="L258" s="4" t="s">
        <v>39</v>
      </c>
      <c r="M258" s="5" t="str">
        <f>IF([1]Employees!$I258&gt;=90000, "High", "Low")</f>
        <v>Low</v>
      </c>
      <c r="N258" s="6" t="str" cm="1">
        <f t="array" ref="N258">_xlfn.IFS([1]Employees!$I258&gt;=90000, "High", [1]Employees!$I258&gt;=50000, "Medium", [1]Employees!$I258&lt;50000, "Low")</f>
        <v>Medium</v>
      </c>
      <c r="O258" s="15" t="str">
        <f>IF([1]Employees!$I258&gt;=90000, "High", IF([1]Employees!$I258&gt;=50000, "Medium", "Low"))</f>
        <v>Medium</v>
      </c>
    </row>
    <row r="259" spans="1:15" x14ac:dyDescent="0.3">
      <c r="A259" s="4" t="s">
        <v>808</v>
      </c>
      <c r="B259" s="4" t="s">
        <v>47</v>
      </c>
      <c r="C259" s="4" t="s">
        <v>98</v>
      </c>
      <c r="D259" s="4" t="s">
        <v>27</v>
      </c>
      <c r="E259" s="4">
        <v>27</v>
      </c>
      <c r="F259" s="4" t="s">
        <v>53</v>
      </c>
      <c r="G259" s="4" t="s">
        <v>29</v>
      </c>
      <c r="H259" s="4" t="s">
        <v>809</v>
      </c>
      <c r="I259" s="4">
        <v>96058</v>
      </c>
      <c r="J259" s="4" t="s">
        <v>22</v>
      </c>
      <c r="K259" s="4" t="s">
        <v>810</v>
      </c>
      <c r="L259" s="4" t="s">
        <v>39</v>
      </c>
      <c r="M259" s="5" t="str">
        <f>IF([1]Employees!$I259&gt;=90000, "High", "Low")</f>
        <v>High</v>
      </c>
      <c r="N259" s="6" t="str" cm="1">
        <f t="array" ref="N259">_xlfn.IFS([1]Employees!$I259&gt;=90000, "High", [1]Employees!$I259&gt;=50000, "Medium", [1]Employees!$I259&lt;50000, "Low")</f>
        <v>High</v>
      </c>
      <c r="O259" s="15" t="str">
        <f>IF([1]Employees!$I259&gt;=90000, "High", IF([1]Employees!$I259&gt;=50000, "Medium", "Low"))</f>
        <v>High</v>
      </c>
    </row>
    <row r="260" spans="1:15" x14ac:dyDescent="0.3">
      <c r="A260" s="4" t="s">
        <v>811</v>
      </c>
      <c r="B260" s="4" t="s">
        <v>146</v>
      </c>
      <c r="C260" s="4" t="s">
        <v>168</v>
      </c>
      <c r="D260" s="4" t="s">
        <v>27</v>
      </c>
      <c r="E260" s="4">
        <v>26</v>
      </c>
      <c r="F260" s="4" t="s">
        <v>19</v>
      </c>
      <c r="G260" s="4" t="s">
        <v>20</v>
      </c>
      <c r="H260" s="4" t="s">
        <v>812</v>
      </c>
      <c r="I260" s="4">
        <v>109724</v>
      </c>
      <c r="J260" s="4" t="s">
        <v>63</v>
      </c>
      <c r="K260" s="4" t="s">
        <v>813</v>
      </c>
      <c r="L260" s="4" t="s">
        <v>24</v>
      </c>
      <c r="M260" s="5" t="str">
        <f>IF([1]Employees!$I260&gt;=90000, "High", "Low")</f>
        <v>High</v>
      </c>
      <c r="N260" s="6" t="str" cm="1">
        <f t="array" ref="N260">_xlfn.IFS([1]Employees!$I260&gt;=90000, "High", [1]Employees!$I260&gt;=50000, "Medium", [1]Employees!$I260&lt;50000, "Low")</f>
        <v>High</v>
      </c>
      <c r="O260" s="15" t="str">
        <f>IF([1]Employees!$I260&gt;=90000, "High", IF([1]Employees!$I260&gt;=50000, "Medium", "Low"))</f>
        <v>High</v>
      </c>
    </row>
    <row r="261" spans="1:15" x14ac:dyDescent="0.3">
      <c r="A261" s="4" t="s">
        <v>814</v>
      </c>
      <c r="B261" s="4" t="s">
        <v>47</v>
      </c>
      <c r="C261" s="4" t="s">
        <v>48</v>
      </c>
      <c r="D261" s="4" t="s">
        <v>27</v>
      </c>
      <c r="E261" s="4">
        <v>35</v>
      </c>
      <c r="F261" s="4" t="s">
        <v>19</v>
      </c>
      <c r="G261" s="4" t="s">
        <v>29</v>
      </c>
      <c r="H261" s="4" t="s">
        <v>216</v>
      </c>
      <c r="I261" s="4">
        <v>69243</v>
      </c>
      <c r="J261" s="4" t="s">
        <v>68</v>
      </c>
      <c r="K261" s="4" t="s">
        <v>815</v>
      </c>
      <c r="L261" s="4" t="s">
        <v>39</v>
      </c>
      <c r="M261" s="5" t="str">
        <f>IF([1]Employees!$I261&gt;=90000, "High", "Low")</f>
        <v>Low</v>
      </c>
      <c r="N261" s="6" t="str" cm="1">
        <f t="array" ref="N261">_xlfn.IFS([1]Employees!$I261&gt;=90000, "High", [1]Employees!$I261&gt;=50000, "Medium", [1]Employees!$I261&lt;50000, "Low")</f>
        <v>Medium</v>
      </c>
      <c r="O261" s="15" t="str">
        <f>IF([1]Employees!$I261&gt;=90000, "High", IF([1]Employees!$I261&gt;=50000, "Medium", "Low"))</f>
        <v>Medium</v>
      </c>
    </row>
    <row r="262" spans="1:15" x14ac:dyDescent="0.3">
      <c r="A262" s="4" t="s">
        <v>816</v>
      </c>
      <c r="B262" s="4" t="s">
        <v>57</v>
      </c>
      <c r="C262" s="4" t="s">
        <v>48</v>
      </c>
      <c r="D262" s="4" t="s">
        <v>18</v>
      </c>
      <c r="E262" s="4">
        <v>22</v>
      </c>
      <c r="F262" s="4" t="s">
        <v>28</v>
      </c>
      <c r="G262" s="4" t="s">
        <v>29</v>
      </c>
      <c r="H262" s="4" t="s">
        <v>817</v>
      </c>
      <c r="I262" s="4">
        <v>46775</v>
      </c>
      <c r="J262" s="4" t="s">
        <v>22</v>
      </c>
      <c r="K262" s="4" t="s">
        <v>818</v>
      </c>
      <c r="L262" s="4" t="s">
        <v>39</v>
      </c>
      <c r="M262" s="5" t="str">
        <f>IF([1]Employees!$I262&gt;=90000, "High", "Low")</f>
        <v>Low</v>
      </c>
      <c r="N262" s="6" t="str" cm="1">
        <f t="array" ref="N262">_xlfn.IFS([1]Employees!$I262&gt;=90000, "High", [1]Employees!$I262&gt;=50000, "Medium", [1]Employees!$I262&lt;50000, "Low")</f>
        <v>Low</v>
      </c>
      <c r="O262" s="15" t="str">
        <f>IF([1]Employees!$I262&gt;=90000, "High", IF([1]Employees!$I262&gt;=50000, "Medium", "Low"))</f>
        <v>Low</v>
      </c>
    </row>
    <row r="263" spans="1:15" x14ac:dyDescent="0.3">
      <c r="A263" s="4" t="s">
        <v>819</v>
      </c>
      <c r="B263" s="4" t="s">
        <v>57</v>
      </c>
      <c r="C263" s="4" t="s">
        <v>133</v>
      </c>
      <c r="D263" s="4" t="s">
        <v>18</v>
      </c>
      <c r="E263" s="4">
        <v>37</v>
      </c>
      <c r="F263" s="4" t="s">
        <v>19</v>
      </c>
      <c r="G263" s="4" t="s">
        <v>43</v>
      </c>
      <c r="H263" s="4" t="s">
        <v>747</v>
      </c>
      <c r="I263" s="4">
        <v>86841</v>
      </c>
      <c r="J263" s="4" t="s">
        <v>63</v>
      </c>
      <c r="K263" s="4" t="s">
        <v>820</v>
      </c>
      <c r="L263" s="4" t="s">
        <v>39</v>
      </c>
      <c r="M263" s="5" t="str">
        <f>IF([1]Employees!$I263&gt;=90000, "High", "Low")</f>
        <v>Low</v>
      </c>
      <c r="N263" s="6" t="str" cm="1">
        <f t="array" ref="N263">_xlfn.IFS([1]Employees!$I263&gt;=90000, "High", [1]Employees!$I263&gt;=50000, "Medium", [1]Employees!$I263&lt;50000, "Low")</f>
        <v>Medium</v>
      </c>
      <c r="O263" s="15" t="str">
        <f>IF([1]Employees!$I263&gt;=90000, "High", IF([1]Employees!$I263&gt;=50000, "Medium", "Low"))</f>
        <v>Medium</v>
      </c>
    </row>
    <row r="264" spans="1:15" x14ac:dyDescent="0.3">
      <c r="A264" s="4" t="s">
        <v>821</v>
      </c>
      <c r="B264" s="4" t="s">
        <v>33</v>
      </c>
      <c r="C264" s="4" t="s">
        <v>93</v>
      </c>
      <c r="D264" s="4" t="s">
        <v>27</v>
      </c>
      <c r="E264" s="4">
        <v>59</v>
      </c>
      <c r="F264" s="4" t="s">
        <v>19</v>
      </c>
      <c r="G264" s="4" t="s">
        <v>111</v>
      </c>
      <c r="H264" s="4" t="s">
        <v>822</v>
      </c>
      <c r="I264" s="4">
        <v>91520</v>
      </c>
      <c r="J264" s="4" t="s">
        <v>83</v>
      </c>
      <c r="K264" s="4" t="s">
        <v>823</v>
      </c>
      <c r="L264" s="4" t="s">
        <v>39</v>
      </c>
      <c r="M264" s="5" t="str">
        <f>IF([1]Employees!$I264&gt;=90000, "High", "Low")</f>
        <v>High</v>
      </c>
      <c r="N264" s="6" t="str" cm="1">
        <f t="array" ref="N264">_xlfn.IFS([1]Employees!$I264&gt;=90000, "High", [1]Employees!$I264&gt;=50000, "Medium", [1]Employees!$I264&lt;50000, "Low")</f>
        <v>High</v>
      </c>
      <c r="O264" s="15" t="str">
        <f>IF([1]Employees!$I264&gt;=90000, "High", IF([1]Employees!$I264&gt;=50000, "Medium", "Low"))</f>
        <v>High</v>
      </c>
    </row>
    <row r="265" spans="1:15" x14ac:dyDescent="0.3">
      <c r="A265" s="4" t="s">
        <v>824</v>
      </c>
      <c r="B265" s="4" t="s">
        <v>97</v>
      </c>
      <c r="C265" s="4" t="s">
        <v>133</v>
      </c>
      <c r="D265" s="4" t="s">
        <v>18</v>
      </c>
      <c r="E265" s="4">
        <v>44</v>
      </c>
      <c r="F265" s="4" t="s">
        <v>28</v>
      </c>
      <c r="G265" s="4" t="s">
        <v>20</v>
      </c>
      <c r="H265" s="4" t="s">
        <v>825</v>
      </c>
      <c r="I265" s="4">
        <v>97265</v>
      </c>
      <c r="J265" s="4" t="s">
        <v>22</v>
      </c>
      <c r="K265" s="4" t="s">
        <v>826</v>
      </c>
      <c r="L265" s="4" t="s">
        <v>24</v>
      </c>
      <c r="M265" s="5" t="str">
        <f>IF([1]Employees!$I265&gt;=90000, "High", "Low")</f>
        <v>High</v>
      </c>
      <c r="N265" s="6" t="str" cm="1">
        <f t="array" ref="N265">_xlfn.IFS([1]Employees!$I265&gt;=90000, "High", [1]Employees!$I265&gt;=50000, "Medium", [1]Employees!$I265&lt;50000, "Low")</f>
        <v>High</v>
      </c>
      <c r="O265" s="15" t="str">
        <f>IF([1]Employees!$I265&gt;=90000, "High", IF([1]Employees!$I265&gt;=50000, "Medium", "Low"))</f>
        <v>High</v>
      </c>
    </row>
    <row r="266" spans="1:15" x14ac:dyDescent="0.3">
      <c r="A266" s="4" t="s">
        <v>827</v>
      </c>
      <c r="B266" s="4" t="s">
        <v>33</v>
      </c>
      <c r="C266" s="4" t="s">
        <v>81</v>
      </c>
      <c r="D266" s="4" t="s">
        <v>27</v>
      </c>
      <c r="E266" s="4">
        <v>60</v>
      </c>
      <c r="F266" s="4" t="s">
        <v>19</v>
      </c>
      <c r="G266" s="4" t="s">
        <v>35</v>
      </c>
      <c r="H266" s="4" t="s">
        <v>828</v>
      </c>
      <c r="I266" s="4">
        <v>76450</v>
      </c>
      <c r="J266" s="4" t="s">
        <v>63</v>
      </c>
      <c r="K266" s="4" t="s">
        <v>829</v>
      </c>
      <c r="L266" s="4" t="s">
        <v>24</v>
      </c>
      <c r="M266" s="5" t="str">
        <f>IF([1]Employees!$I266&gt;=90000, "High", "Low")</f>
        <v>Low</v>
      </c>
      <c r="N266" s="6" t="str" cm="1">
        <f t="array" ref="N266">_xlfn.IFS([1]Employees!$I266&gt;=90000, "High", [1]Employees!$I266&gt;=50000, "Medium", [1]Employees!$I266&lt;50000, "Low")</f>
        <v>Medium</v>
      </c>
      <c r="O266" s="15" t="str">
        <f>IF([1]Employees!$I266&gt;=90000, "High", IF([1]Employees!$I266&gt;=50000, "Medium", "Low"))</f>
        <v>Medium</v>
      </c>
    </row>
    <row r="267" spans="1:15" x14ac:dyDescent="0.3">
      <c r="A267" s="4" t="s">
        <v>830</v>
      </c>
      <c r="B267" s="4" t="s">
        <v>61</v>
      </c>
      <c r="C267" s="4" t="s">
        <v>17</v>
      </c>
      <c r="D267" s="4" t="s">
        <v>27</v>
      </c>
      <c r="E267" s="4">
        <v>45</v>
      </c>
      <c r="F267" s="4" t="s">
        <v>28</v>
      </c>
      <c r="G267" s="4" t="s">
        <v>20</v>
      </c>
      <c r="H267" s="4" t="s">
        <v>831</v>
      </c>
      <c r="I267" s="4">
        <v>85702</v>
      </c>
      <c r="J267" s="4" t="s">
        <v>37</v>
      </c>
      <c r="K267" s="4" t="s">
        <v>832</v>
      </c>
      <c r="L267" s="4" t="s">
        <v>39</v>
      </c>
      <c r="M267" s="5" t="str">
        <f>IF([1]Employees!$I267&gt;=90000, "High", "Low")</f>
        <v>Low</v>
      </c>
      <c r="N267" s="6" t="str" cm="1">
        <f t="array" ref="N267">_xlfn.IFS([1]Employees!$I267&gt;=90000, "High", [1]Employees!$I267&gt;=50000, "Medium", [1]Employees!$I267&lt;50000, "Low")</f>
        <v>Medium</v>
      </c>
      <c r="O267" s="15" t="str">
        <f>IF([1]Employees!$I267&gt;=90000, "High", IF([1]Employees!$I267&gt;=50000, "Medium", "Low"))</f>
        <v>Medium</v>
      </c>
    </row>
    <row r="268" spans="1:15" x14ac:dyDescent="0.3">
      <c r="A268" s="4" t="s">
        <v>833</v>
      </c>
      <c r="B268" s="4" t="s">
        <v>74</v>
      </c>
      <c r="C268" s="4" t="s">
        <v>168</v>
      </c>
      <c r="D268" s="4" t="s">
        <v>18</v>
      </c>
      <c r="E268" s="4">
        <v>52</v>
      </c>
      <c r="F268" s="4" t="s">
        <v>34</v>
      </c>
      <c r="G268" s="4" t="s">
        <v>43</v>
      </c>
      <c r="H268" s="4" t="s">
        <v>834</v>
      </c>
      <c r="I268" s="4">
        <v>94043</v>
      </c>
      <c r="J268" s="4" t="s">
        <v>68</v>
      </c>
      <c r="K268" s="4" t="s">
        <v>835</v>
      </c>
      <c r="L268" s="4" t="s">
        <v>39</v>
      </c>
      <c r="M268" s="5" t="str">
        <f>IF([1]Employees!$I268&gt;=90000, "High", "Low")</f>
        <v>High</v>
      </c>
      <c r="N268" s="6" t="str" cm="1">
        <f t="array" ref="N268">_xlfn.IFS([1]Employees!$I268&gt;=90000, "High", [1]Employees!$I268&gt;=50000, "Medium", [1]Employees!$I268&lt;50000, "Low")</f>
        <v>High</v>
      </c>
      <c r="O268" s="15" t="str">
        <f>IF([1]Employees!$I268&gt;=90000, "High", IF([1]Employees!$I268&gt;=50000, "Medium", "Low"))</f>
        <v>High</v>
      </c>
    </row>
    <row r="269" spans="1:15" x14ac:dyDescent="0.3">
      <c r="A269" s="4" t="s">
        <v>836</v>
      </c>
      <c r="B269" s="4" t="s">
        <v>47</v>
      </c>
      <c r="C269" s="4" t="s">
        <v>81</v>
      </c>
      <c r="D269" s="4" t="s">
        <v>18</v>
      </c>
      <c r="E269" s="4">
        <v>26</v>
      </c>
      <c r="F269" s="4" t="s">
        <v>34</v>
      </c>
      <c r="G269" s="4" t="s">
        <v>111</v>
      </c>
      <c r="H269" s="4" t="s">
        <v>837</v>
      </c>
      <c r="I269" s="4">
        <v>59385</v>
      </c>
      <c r="J269" s="4" t="s">
        <v>37</v>
      </c>
      <c r="K269" s="4" t="s">
        <v>838</v>
      </c>
      <c r="L269" s="4" t="s">
        <v>24</v>
      </c>
      <c r="M269" s="5" t="str">
        <f>IF([1]Employees!$I269&gt;=90000, "High", "Low")</f>
        <v>Low</v>
      </c>
      <c r="N269" s="6" t="str" cm="1">
        <f t="array" ref="N269">_xlfn.IFS([1]Employees!$I269&gt;=90000, "High", [1]Employees!$I269&gt;=50000, "Medium", [1]Employees!$I269&lt;50000, "Low")</f>
        <v>Medium</v>
      </c>
      <c r="O269" s="15" t="str">
        <f>IF([1]Employees!$I269&gt;=90000, "High", IF([1]Employees!$I269&gt;=50000, "Medium", "Low"))</f>
        <v>Medium</v>
      </c>
    </row>
    <row r="270" spans="1:15" x14ac:dyDescent="0.3">
      <c r="A270" s="4" t="s">
        <v>839</v>
      </c>
      <c r="B270" s="4" t="s">
        <v>57</v>
      </c>
      <c r="C270" s="4" t="s">
        <v>66</v>
      </c>
      <c r="D270" s="4" t="s">
        <v>18</v>
      </c>
      <c r="E270" s="4">
        <v>43</v>
      </c>
      <c r="F270" s="4" t="s">
        <v>53</v>
      </c>
      <c r="G270" s="4" t="s">
        <v>43</v>
      </c>
      <c r="H270" s="4" t="s">
        <v>840</v>
      </c>
      <c r="I270" s="4">
        <v>114243</v>
      </c>
      <c r="J270" s="4" t="s">
        <v>68</v>
      </c>
      <c r="K270" s="4" t="s">
        <v>841</v>
      </c>
      <c r="L270" s="4" t="s">
        <v>24</v>
      </c>
      <c r="M270" s="5" t="str">
        <f>IF([1]Employees!$I270&gt;=90000, "High", "Low")</f>
        <v>High</v>
      </c>
      <c r="N270" s="6" t="str" cm="1">
        <f t="array" ref="N270">_xlfn.IFS([1]Employees!$I270&gt;=90000, "High", [1]Employees!$I270&gt;=50000, "Medium", [1]Employees!$I270&lt;50000, "Low")</f>
        <v>High</v>
      </c>
      <c r="O270" s="15" t="str">
        <f>IF([1]Employees!$I270&gt;=90000, "High", IF([1]Employees!$I270&gt;=50000, "Medium", "Low"))</f>
        <v>High</v>
      </c>
    </row>
    <row r="271" spans="1:15" x14ac:dyDescent="0.3">
      <c r="A271" s="4" t="s">
        <v>842</v>
      </c>
      <c r="B271" s="4" t="s">
        <v>16</v>
      </c>
      <c r="C271" s="4" t="s">
        <v>86</v>
      </c>
      <c r="D271" s="4" t="s">
        <v>18</v>
      </c>
      <c r="E271" s="4">
        <v>38</v>
      </c>
      <c r="F271" s="4" t="s">
        <v>19</v>
      </c>
      <c r="G271" s="4" t="s">
        <v>20</v>
      </c>
      <c r="H271" s="4" t="s">
        <v>843</v>
      </c>
      <c r="I271" s="4">
        <v>108702</v>
      </c>
      <c r="J271" s="4" t="s">
        <v>63</v>
      </c>
      <c r="K271" s="4" t="s">
        <v>844</v>
      </c>
      <c r="L271" s="4" t="s">
        <v>24</v>
      </c>
      <c r="M271" s="5" t="str">
        <f>IF([1]Employees!$I271&gt;=90000, "High", "Low")</f>
        <v>High</v>
      </c>
      <c r="N271" s="6" t="str" cm="1">
        <f t="array" ref="N271">_xlfn.IFS([1]Employees!$I271&gt;=90000, "High", [1]Employees!$I271&gt;=50000, "Medium", [1]Employees!$I271&lt;50000, "Low")</f>
        <v>High</v>
      </c>
      <c r="O271" s="15" t="str">
        <f>IF([1]Employees!$I271&gt;=90000, "High", IF([1]Employees!$I271&gt;=50000, "Medium", "Low"))</f>
        <v>High</v>
      </c>
    </row>
    <row r="272" spans="1:15" x14ac:dyDescent="0.3">
      <c r="A272" s="4" t="s">
        <v>845</v>
      </c>
      <c r="B272" s="4" t="s">
        <v>16</v>
      </c>
      <c r="C272" s="4" t="s">
        <v>81</v>
      </c>
      <c r="D272" s="4" t="s">
        <v>27</v>
      </c>
      <c r="E272" s="4">
        <v>54</v>
      </c>
      <c r="F272" s="4" t="s">
        <v>19</v>
      </c>
      <c r="G272" s="4" t="s">
        <v>43</v>
      </c>
      <c r="H272" s="4" t="s">
        <v>846</v>
      </c>
      <c r="I272" s="4">
        <v>103130</v>
      </c>
      <c r="J272" s="4" t="s">
        <v>22</v>
      </c>
      <c r="K272" s="4" t="s">
        <v>847</v>
      </c>
      <c r="L272" s="4" t="s">
        <v>24</v>
      </c>
      <c r="M272" s="5" t="str">
        <f>IF([1]Employees!$I272&gt;=90000, "High", "Low")</f>
        <v>High</v>
      </c>
      <c r="N272" s="6" t="str" cm="1">
        <f t="array" ref="N272">_xlfn.IFS([1]Employees!$I272&gt;=90000, "High", [1]Employees!$I272&gt;=50000, "Medium", [1]Employees!$I272&lt;50000, "Low")</f>
        <v>High</v>
      </c>
      <c r="O272" s="15" t="str">
        <f>IF([1]Employees!$I272&gt;=90000, "High", IF([1]Employees!$I272&gt;=50000, "Medium", "Low"))</f>
        <v>High</v>
      </c>
    </row>
    <row r="273" spans="1:15" x14ac:dyDescent="0.3">
      <c r="A273" s="4" t="s">
        <v>848</v>
      </c>
      <c r="B273" s="4" t="s">
        <v>33</v>
      </c>
      <c r="C273" s="4" t="s">
        <v>48</v>
      </c>
      <c r="D273" s="4" t="s">
        <v>27</v>
      </c>
      <c r="E273" s="4">
        <v>44</v>
      </c>
      <c r="F273" s="4" t="s">
        <v>34</v>
      </c>
      <c r="G273" s="4" t="s">
        <v>20</v>
      </c>
      <c r="H273" s="4" t="s">
        <v>849</v>
      </c>
      <c r="I273" s="4">
        <v>71195</v>
      </c>
      <c r="J273" s="4" t="s">
        <v>83</v>
      </c>
      <c r="K273" s="4" t="s">
        <v>850</v>
      </c>
      <c r="L273" s="4" t="s">
        <v>24</v>
      </c>
      <c r="M273" s="5" t="str">
        <f>IF([1]Employees!$I273&gt;=90000, "High", "Low")</f>
        <v>Low</v>
      </c>
      <c r="N273" s="6" t="str" cm="1">
        <f t="array" ref="N273">_xlfn.IFS([1]Employees!$I273&gt;=90000, "High", [1]Employees!$I273&gt;=50000, "Medium", [1]Employees!$I273&lt;50000, "Low")</f>
        <v>Medium</v>
      </c>
      <c r="O273" s="15" t="str">
        <f>IF([1]Employees!$I273&gt;=90000, "High", IF([1]Employees!$I273&gt;=50000, "Medium", "Low"))</f>
        <v>Medium</v>
      </c>
    </row>
    <row r="274" spans="1:15" x14ac:dyDescent="0.3">
      <c r="A274" s="4" t="s">
        <v>851</v>
      </c>
      <c r="B274" s="4" t="s">
        <v>146</v>
      </c>
      <c r="C274" s="4" t="s">
        <v>86</v>
      </c>
      <c r="D274" s="4" t="s">
        <v>18</v>
      </c>
      <c r="E274" s="4">
        <v>55</v>
      </c>
      <c r="F274" s="4" t="s">
        <v>19</v>
      </c>
      <c r="G274" s="4" t="s">
        <v>29</v>
      </c>
      <c r="H274" s="4" t="s">
        <v>852</v>
      </c>
      <c r="I274" s="4">
        <v>40336</v>
      </c>
      <c r="J274" s="4" t="s">
        <v>83</v>
      </c>
      <c r="K274" s="4" t="s">
        <v>853</v>
      </c>
      <c r="L274" s="4" t="s">
        <v>39</v>
      </c>
      <c r="M274" s="5" t="str">
        <f>IF([1]Employees!$I274&gt;=90000, "High", "Low")</f>
        <v>Low</v>
      </c>
      <c r="N274" s="6" t="str" cm="1">
        <f t="array" ref="N274">_xlfn.IFS([1]Employees!$I274&gt;=90000, "High", [1]Employees!$I274&gt;=50000, "Medium", [1]Employees!$I274&lt;50000, "Low")</f>
        <v>Low</v>
      </c>
      <c r="O274" s="15" t="str">
        <f>IF([1]Employees!$I274&gt;=90000, "High", IF([1]Employees!$I274&gt;=50000, "Medium", "Low"))</f>
        <v>Low</v>
      </c>
    </row>
    <row r="275" spans="1:15" x14ac:dyDescent="0.3">
      <c r="A275" s="4" t="s">
        <v>854</v>
      </c>
      <c r="B275" s="4" t="s">
        <v>97</v>
      </c>
      <c r="C275" s="4" t="s">
        <v>26</v>
      </c>
      <c r="D275" s="4" t="s">
        <v>27</v>
      </c>
      <c r="E275" s="4">
        <v>52</v>
      </c>
      <c r="F275" s="4" t="s">
        <v>53</v>
      </c>
      <c r="G275" s="4" t="s">
        <v>43</v>
      </c>
      <c r="H275" s="4" t="s">
        <v>855</v>
      </c>
      <c r="I275" s="4">
        <v>107267</v>
      </c>
      <c r="J275" s="4" t="s">
        <v>68</v>
      </c>
      <c r="K275" s="4" t="s">
        <v>856</v>
      </c>
      <c r="L275" s="4" t="s">
        <v>39</v>
      </c>
      <c r="M275" s="5" t="str">
        <f>IF([1]Employees!$I275&gt;=90000, "High", "Low")</f>
        <v>High</v>
      </c>
      <c r="N275" s="6" t="str" cm="1">
        <f t="array" ref="N275">_xlfn.IFS([1]Employees!$I275&gt;=90000, "High", [1]Employees!$I275&gt;=50000, "Medium", [1]Employees!$I275&lt;50000, "Low")</f>
        <v>High</v>
      </c>
      <c r="O275" s="15" t="str">
        <f>IF([1]Employees!$I275&gt;=90000, "High", IF([1]Employees!$I275&gt;=50000, "Medium", "Low"))</f>
        <v>High</v>
      </c>
    </row>
    <row r="276" spans="1:15" x14ac:dyDescent="0.3">
      <c r="A276" s="4" t="s">
        <v>857</v>
      </c>
      <c r="B276" s="4" t="s">
        <v>16</v>
      </c>
      <c r="C276" s="4" t="s">
        <v>93</v>
      </c>
      <c r="D276" s="4" t="s">
        <v>18</v>
      </c>
      <c r="E276" s="4">
        <v>43</v>
      </c>
      <c r="F276" s="4" t="s">
        <v>34</v>
      </c>
      <c r="G276" s="4" t="s">
        <v>35</v>
      </c>
      <c r="H276" s="4" t="s">
        <v>858</v>
      </c>
      <c r="I276" s="4">
        <v>89633</v>
      </c>
      <c r="J276" s="4" t="s">
        <v>68</v>
      </c>
      <c r="K276" s="4" t="s">
        <v>859</v>
      </c>
      <c r="L276" s="4" t="s">
        <v>39</v>
      </c>
      <c r="M276" s="5" t="str">
        <f>IF([1]Employees!$I276&gt;=90000, "High", "Low")</f>
        <v>Low</v>
      </c>
      <c r="N276" s="6" t="str" cm="1">
        <f t="array" ref="N276">_xlfn.IFS([1]Employees!$I276&gt;=90000, "High", [1]Employees!$I276&gt;=50000, "Medium", [1]Employees!$I276&lt;50000, "Low")</f>
        <v>Medium</v>
      </c>
      <c r="O276" s="15" t="str">
        <f>IF([1]Employees!$I276&gt;=90000, "High", IF([1]Employees!$I276&gt;=50000, "Medium", "Low"))</f>
        <v>Medium</v>
      </c>
    </row>
    <row r="277" spans="1:15" x14ac:dyDescent="0.3">
      <c r="A277" s="4" t="s">
        <v>860</v>
      </c>
      <c r="B277" s="4" t="s">
        <v>57</v>
      </c>
      <c r="C277" s="4" t="s">
        <v>26</v>
      </c>
      <c r="D277" s="4" t="s">
        <v>27</v>
      </c>
      <c r="E277" s="4">
        <v>51</v>
      </c>
      <c r="F277" s="4" t="s">
        <v>34</v>
      </c>
      <c r="G277" s="4" t="s">
        <v>43</v>
      </c>
      <c r="H277" s="4" t="s">
        <v>861</v>
      </c>
      <c r="I277" s="4">
        <v>76409</v>
      </c>
      <c r="J277" s="4" t="s">
        <v>37</v>
      </c>
      <c r="K277" s="4" t="s">
        <v>862</v>
      </c>
      <c r="L277" s="4" t="s">
        <v>39</v>
      </c>
      <c r="M277" s="5" t="str">
        <f>IF([1]Employees!$I277&gt;=90000, "High", "Low")</f>
        <v>Low</v>
      </c>
      <c r="N277" s="6" t="str" cm="1">
        <f t="array" ref="N277">_xlfn.IFS([1]Employees!$I277&gt;=90000, "High", [1]Employees!$I277&gt;=50000, "Medium", [1]Employees!$I277&lt;50000, "Low")</f>
        <v>Medium</v>
      </c>
      <c r="O277" s="15" t="str">
        <f>IF([1]Employees!$I277&gt;=90000, "High", IF([1]Employees!$I277&gt;=50000, "Medium", "Low"))</f>
        <v>Medium</v>
      </c>
    </row>
    <row r="278" spans="1:15" x14ac:dyDescent="0.3">
      <c r="A278" s="4" t="s">
        <v>863</v>
      </c>
      <c r="B278" s="4" t="s">
        <v>97</v>
      </c>
      <c r="C278" s="4" t="s">
        <v>48</v>
      </c>
      <c r="D278" s="4" t="s">
        <v>18</v>
      </c>
      <c r="E278" s="4">
        <v>22</v>
      </c>
      <c r="F278" s="4" t="s">
        <v>34</v>
      </c>
      <c r="G278" s="4" t="s">
        <v>29</v>
      </c>
      <c r="H278" s="4" t="s">
        <v>864</v>
      </c>
      <c r="I278" s="4">
        <v>79899</v>
      </c>
      <c r="J278" s="4" t="s">
        <v>68</v>
      </c>
      <c r="K278" s="4" t="s">
        <v>865</v>
      </c>
      <c r="L278" s="4" t="s">
        <v>39</v>
      </c>
      <c r="M278" s="5" t="str">
        <f>IF([1]Employees!$I278&gt;=90000, "High", "Low")</f>
        <v>Low</v>
      </c>
      <c r="N278" s="6" t="str" cm="1">
        <f t="array" ref="N278">_xlfn.IFS([1]Employees!$I278&gt;=90000, "High", [1]Employees!$I278&gt;=50000, "Medium", [1]Employees!$I278&lt;50000, "Low")</f>
        <v>Medium</v>
      </c>
      <c r="O278" s="15" t="str">
        <f>IF([1]Employees!$I278&gt;=90000, "High", IF([1]Employees!$I278&gt;=50000, "Medium", "Low"))</f>
        <v>Medium</v>
      </c>
    </row>
    <row r="279" spans="1:15" x14ac:dyDescent="0.3">
      <c r="A279" s="4" t="s">
        <v>866</v>
      </c>
      <c r="B279" s="4" t="s">
        <v>52</v>
      </c>
      <c r="C279" s="4" t="s">
        <v>98</v>
      </c>
      <c r="D279" s="4" t="s">
        <v>18</v>
      </c>
      <c r="E279" s="4">
        <v>28</v>
      </c>
      <c r="F279" s="4" t="s">
        <v>19</v>
      </c>
      <c r="G279" s="4" t="s">
        <v>35</v>
      </c>
      <c r="H279" s="4" t="s">
        <v>867</v>
      </c>
      <c r="I279" s="4">
        <v>92548</v>
      </c>
      <c r="J279" s="4" t="s">
        <v>22</v>
      </c>
      <c r="K279" s="4" t="s">
        <v>868</v>
      </c>
      <c r="L279" s="4" t="s">
        <v>39</v>
      </c>
      <c r="M279" s="5" t="str">
        <f>IF([1]Employees!$I279&gt;=90000, "High", "Low")</f>
        <v>High</v>
      </c>
      <c r="N279" s="6" t="str" cm="1">
        <f t="array" ref="N279">_xlfn.IFS([1]Employees!$I279&gt;=90000, "High", [1]Employees!$I279&gt;=50000, "Medium", [1]Employees!$I279&lt;50000, "Low")</f>
        <v>High</v>
      </c>
      <c r="O279" s="15" t="str">
        <f>IF([1]Employees!$I279&gt;=90000, "High", IF([1]Employees!$I279&gt;=50000, "Medium", "Low"))</f>
        <v>High</v>
      </c>
    </row>
    <row r="280" spans="1:15" x14ac:dyDescent="0.3">
      <c r="A280" s="4" t="s">
        <v>869</v>
      </c>
      <c r="B280" s="4" t="s">
        <v>41</v>
      </c>
      <c r="C280" s="4" t="s">
        <v>168</v>
      </c>
      <c r="D280" s="4" t="s">
        <v>18</v>
      </c>
      <c r="E280" s="4">
        <v>32</v>
      </c>
      <c r="F280" s="4" t="s">
        <v>19</v>
      </c>
      <c r="G280" s="4" t="s">
        <v>43</v>
      </c>
      <c r="H280" s="4" t="s">
        <v>870</v>
      </c>
      <c r="I280" s="4">
        <v>60558</v>
      </c>
      <c r="J280" s="4" t="s">
        <v>63</v>
      </c>
      <c r="K280" s="4" t="s">
        <v>871</v>
      </c>
      <c r="L280" s="4" t="s">
        <v>24</v>
      </c>
      <c r="M280" s="5" t="str">
        <f>IF([1]Employees!$I280&gt;=90000, "High", "Low")</f>
        <v>Low</v>
      </c>
      <c r="N280" s="6" t="str" cm="1">
        <f t="array" ref="N280">_xlfn.IFS([1]Employees!$I280&gt;=90000, "High", [1]Employees!$I280&gt;=50000, "Medium", [1]Employees!$I280&lt;50000, "Low")</f>
        <v>Medium</v>
      </c>
      <c r="O280" s="15" t="str">
        <f>IF([1]Employees!$I280&gt;=90000, "High", IF([1]Employees!$I280&gt;=50000, "Medium", "Low"))</f>
        <v>Medium</v>
      </c>
    </row>
    <row r="281" spans="1:15" x14ac:dyDescent="0.3">
      <c r="A281" s="4" t="s">
        <v>872</v>
      </c>
      <c r="B281" s="4" t="s">
        <v>52</v>
      </c>
      <c r="C281" s="4" t="s">
        <v>133</v>
      </c>
      <c r="D281" s="4" t="s">
        <v>18</v>
      </c>
      <c r="E281" s="4">
        <v>60</v>
      </c>
      <c r="F281" s="4" t="s">
        <v>28</v>
      </c>
      <c r="G281" s="4" t="s">
        <v>20</v>
      </c>
      <c r="H281" s="4" t="s">
        <v>873</v>
      </c>
      <c r="I281" s="4">
        <v>40802</v>
      </c>
      <c r="J281" s="4" t="s">
        <v>83</v>
      </c>
      <c r="K281" s="4" t="s">
        <v>874</v>
      </c>
      <c r="L281" s="4" t="s">
        <v>24</v>
      </c>
      <c r="M281" s="5" t="str">
        <f>IF([1]Employees!$I281&gt;=90000, "High", "Low")</f>
        <v>Low</v>
      </c>
      <c r="N281" s="6" t="str" cm="1">
        <f t="array" ref="N281">_xlfn.IFS([1]Employees!$I281&gt;=90000, "High", [1]Employees!$I281&gt;=50000, "Medium", [1]Employees!$I281&lt;50000, "Low")</f>
        <v>Low</v>
      </c>
      <c r="O281" s="15" t="str">
        <f>IF([1]Employees!$I281&gt;=90000, "High", IF([1]Employees!$I281&gt;=50000, "Medium", "Low"))</f>
        <v>Low</v>
      </c>
    </row>
    <row r="282" spans="1:15" x14ac:dyDescent="0.3">
      <c r="A282" s="4" t="s">
        <v>875</v>
      </c>
      <c r="B282" s="4" t="s">
        <v>146</v>
      </c>
      <c r="C282" s="4" t="s">
        <v>168</v>
      </c>
      <c r="D282" s="4" t="s">
        <v>27</v>
      </c>
      <c r="E282" s="4">
        <v>24</v>
      </c>
      <c r="F282" s="4" t="s">
        <v>42</v>
      </c>
      <c r="G282" s="4" t="s">
        <v>111</v>
      </c>
      <c r="H282" s="4" t="s">
        <v>876</v>
      </c>
      <c r="I282" s="4">
        <v>117454</v>
      </c>
      <c r="J282" s="4" t="s">
        <v>68</v>
      </c>
      <c r="K282" s="4" t="s">
        <v>877</v>
      </c>
      <c r="L282" s="4" t="s">
        <v>39</v>
      </c>
      <c r="M282" s="5" t="str">
        <f>IF([1]Employees!$I282&gt;=90000, "High", "Low")</f>
        <v>High</v>
      </c>
      <c r="N282" s="6" t="str" cm="1">
        <f t="array" ref="N282">_xlfn.IFS([1]Employees!$I282&gt;=90000, "High", [1]Employees!$I282&gt;=50000, "Medium", [1]Employees!$I282&lt;50000, "Low")</f>
        <v>High</v>
      </c>
      <c r="O282" s="15" t="str">
        <f>IF([1]Employees!$I282&gt;=90000, "High", IF([1]Employees!$I282&gt;=50000, "Medium", "Low"))</f>
        <v>High</v>
      </c>
    </row>
    <row r="283" spans="1:15" x14ac:dyDescent="0.3">
      <c r="A283" s="4" t="s">
        <v>878</v>
      </c>
      <c r="B283" s="4" t="s">
        <v>146</v>
      </c>
      <c r="C283" s="4" t="s">
        <v>98</v>
      </c>
      <c r="D283" s="4" t="s">
        <v>27</v>
      </c>
      <c r="E283" s="4">
        <v>26</v>
      </c>
      <c r="F283" s="4" t="s">
        <v>34</v>
      </c>
      <c r="G283" s="4" t="s">
        <v>35</v>
      </c>
      <c r="H283" s="4" t="s">
        <v>879</v>
      </c>
      <c r="I283" s="4">
        <v>48830</v>
      </c>
      <c r="J283" s="4" t="s">
        <v>68</v>
      </c>
      <c r="K283" s="4" t="s">
        <v>880</v>
      </c>
      <c r="L283" s="4" t="s">
        <v>24</v>
      </c>
      <c r="M283" s="5" t="str">
        <f>IF([1]Employees!$I283&gt;=90000, "High", "Low")</f>
        <v>Low</v>
      </c>
      <c r="N283" s="6" t="str" cm="1">
        <f t="array" ref="N283">_xlfn.IFS([1]Employees!$I283&gt;=90000, "High", [1]Employees!$I283&gt;=50000, "Medium", [1]Employees!$I283&lt;50000, "Low")</f>
        <v>Low</v>
      </c>
      <c r="O283" s="15" t="str">
        <f>IF([1]Employees!$I283&gt;=90000, "High", IF([1]Employees!$I283&gt;=50000, "Medium", "Low"))</f>
        <v>Low</v>
      </c>
    </row>
    <row r="284" spans="1:15" x14ac:dyDescent="0.3">
      <c r="A284" s="4" t="s">
        <v>881</v>
      </c>
      <c r="B284" s="4" t="s">
        <v>61</v>
      </c>
      <c r="C284" s="4" t="s">
        <v>26</v>
      </c>
      <c r="D284" s="4" t="s">
        <v>27</v>
      </c>
      <c r="E284" s="4">
        <v>36</v>
      </c>
      <c r="F284" s="4" t="s">
        <v>53</v>
      </c>
      <c r="G284" s="4" t="s">
        <v>20</v>
      </c>
      <c r="H284" s="4" t="s">
        <v>882</v>
      </c>
      <c r="I284" s="4">
        <v>45532</v>
      </c>
      <c r="J284" s="4" t="s">
        <v>83</v>
      </c>
      <c r="K284" s="4" t="s">
        <v>883</v>
      </c>
      <c r="L284" s="4" t="s">
        <v>39</v>
      </c>
      <c r="M284" s="5" t="str">
        <f>IF([1]Employees!$I284&gt;=90000, "High", "Low")</f>
        <v>Low</v>
      </c>
      <c r="N284" s="6" t="str" cm="1">
        <f t="array" ref="N284">_xlfn.IFS([1]Employees!$I284&gt;=90000, "High", [1]Employees!$I284&gt;=50000, "Medium", [1]Employees!$I284&lt;50000, "Low")</f>
        <v>Low</v>
      </c>
      <c r="O284" s="15" t="str">
        <f>IF([1]Employees!$I284&gt;=90000, "High", IF([1]Employees!$I284&gt;=50000, "Medium", "Low"))</f>
        <v>Low</v>
      </c>
    </row>
    <row r="285" spans="1:15" x14ac:dyDescent="0.3">
      <c r="A285" s="4" t="s">
        <v>884</v>
      </c>
      <c r="B285" s="4" t="s">
        <v>47</v>
      </c>
      <c r="C285" s="4" t="s">
        <v>98</v>
      </c>
      <c r="D285" s="4" t="s">
        <v>27</v>
      </c>
      <c r="E285" s="4">
        <v>43</v>
      </c>
      <c r="F285" s="4" t="s">
        <v>42</v>
      </c>
      <c r="G285" s="4" t="s">
        <v>43</v>
      </c>
      <c r="H285" s="4" t="s">
        <v>219</v>
      </c>
      <c r="I285" s="4">
        <v>44771</v>
      </c>
      <c r="J285" s="4" t="s">
        <v>68</v>
      </c>
      <c r="K285" s="4" t="s">
        <v>885</v>
      </c>
      <c r="L285" s="4" t="s">
        <v>24</v>
      </c>
      <c r="M285" s="5" t="str">
        <f>IF([1]Employees!$I285&gt;=90000, "High", "Low")</f>
        <v>Low</v>
      </c>
      <c r="N285" s="6" t="str" cm="1">
        <f t="array" ref="N285">_xlfn.IFS([1]Employees!$I285&gt;=90000, "High", [1]Employees!$I285&gt;=50000, "Medium", [1]Employees!$I285&lt;50000, "Low")</f>
        <v>Low</v>
      </c>
      <c r="O285" s="15" t="str">
        <f>IF([1]Employees!$I285&gt;=90000, "High", IF([1]Employees!$I285&gt;=50000, "Medium", "Low"))</f>
        <v>Low</v>
      </c>
    </row>
    <row r="286" spans="1:15" x14ac:dyDescent="0.3">
      <c r="A286" s="4" t="s">
        <v>886</v>
      </c>
      <c r="B286" s="4" t="s">
        <v>57</v>
      </c>
      <c r="C286" s="4" t="s">
        <v>48</v>
      </c>
      <c r="D286" s="4" t="s">
        <v>18</v>
      </c>
      <c r="E286" s="4">
        <v>27</v>
      </c>
      <c r="F286" s="4" t="s">
        <v>42</v>
      </c>
      <c r="G286" s="4" t="s">
        <v>20</v>
      </c>
      <c r="H286" s="4" t="s">
        <v>887</v>
      </c>
      <c r="I286" s="4">
        <v>46998</v>
      </c>
      <c r="J286" s="4" t="s">
        <v>63</v>
      </c>
      <c r="K286" s="4" t="s">
        <v>888</v>
      </c>
      <c r="L286" s="4" t="s">
        <v>39</v>
      </c>
      <c r="M286" s="5" t="str">
        <f>IF([1]Employees!$I286&gt;=90000, "High", "Low")</f>
        <v>Low</v>
      </c>
      <c r="N286" s="6" t="str" cm="1">
        <f t="array" ref="N286">_xlfn.IFS([1]Employees!$I286&gt;=90000, "High", [1]Employees!$I286&gt;=50000, "Medium", [1]Employees!$I286&lt;50000, "Low")</f>
        <v>Low</v>
      </c>
      <c r="O286" s="15" t="str">
        <f>IF([1]Employees!$I286&gt;=90000, "High", IF([1]Employees!$I286&gt;=50000, "Medium", "Low"))</f>
        <v>Low</v>
      </c>
    </row>
    <row r="287" spans="1:15" x14ac:dyDescent="0.3">
      <c r="A287" s="4" t="s">
        <v>889</v>
      </c>
      <c r="B287" s="4" t="s">
        <v>74</v>
      </c>
      <c r="C287" s="4" t="s">
        <v>48</v>
      </c>
      <c r="D287" s="4" t="s">
        <v>18</v>
      </c>
      <c r="E287" s="4">
        <v>47</v>
      </c>
      <c r="F287" s="4" t="s">
        <v>34</v>
      </c>
      <c r="G287" s="4" t="s">
        <v>29</v>
      </c>
      <c r="H287" s="4" t="s">
        <v>890</v>
      </c>
      <c r="I287" s="4">
        <v>106837</v>
      </c>
      <c r="J287" s="4" t="s">
        <v>83</v>
      </c>
      <c r="K287" s="4" t="s">
        <v>891</v>
      </c>
      <c r="L287" s="4" t="s">
        <v>39</v>
      </c>
      <c r="M287" s="5" t="str">
        <f>IF([1]Employees!$I287&gt;=90000, "High", "Low")</f>
        <v>High</v>
      </c>
      <c r="N287" s="6" t="str" cm="1">
        <f t="array" ref="N287">_xlfn.IFS([1]Employees!$I287&gt;=90000, "High", [1]Employees!$I287&gt;=50000, "Medium", [1]Employees!$I287&lt;50000, "Low")</f>
        <v>High</v>
      </c>
      <c r="O287" s="15" t="str">
        <f>IF([1]Employees!$I287&gt;=90000, "High", IF([1]Employees!$I287&gt;=50000, "Medium", "Low"))</f>
        <v>High</v>
      </c>
    </row>
    <row r="288" spans="1:15" x14ac:dyDescent="0.3">
      <c r="A288" s="4" t="s">
        <v>892</v>
      </c>
      <c r="B288" s="4" t="s">
        <v>61</v>
      </c>
      <c r="C288" s="4" t="s">
        <v>133</v>
      </c>
      <c r="D288" s="4" t="s">
        <v>18</v>
      </c>
      <c r="E288" s="4">
        <v>52</v>
      </c>
      <c r="F288" s="4" t="s">
        <v>34</v>
      </c>
      <c r="G288" s="4" t="s">
        <v>111</v>
      </c>
      <c r="H288" s="4" t="s">
        <v>893</v>
      </c>
      <c r="I288" s="4">
        <v>97878</v>
      </c>
      <c r="J288" s="4" t="s">
        <v>68</v>
      </c>
      <c r="K288" s="4" t="s">
        <v>894</v>
      </c>
      <c r="L288" s="4" t="s">
        <v>39</v>
      </c>
      <c r="M288" s="5" t="str">
        <f>IF([1]Employees!$I288&gt;=90000, "High", "Low")</f>
        <v>High</v>
      </c>
      <c r="N288" s="6" t="str" cm="1">
        <f t="array" ref="N288">_xlfn.IFS([1]Employees!$I288&gt;=90000, "High", [1]Employees!$I288&gt;=50000, "Medium", [1]Employees!$I288&lt;50000, "Low")</f>
        <v>High</v>
      </c>
      <c r="O288" s="15" t="str">
        <f>IF([1]Employees!$I288&gt;=90000, "High", IF([1]Employees!$I288&gt;=50000, "Medium", "Low"))</f>
        <v>High</v>
      </c>
    </row>
    <row r="289" spans="1:15" x14ac:dyDescent="0.3">
      <c r="A289" s="4" t="s">
        <v>895</v>
      </c>
      <c r="B289" s="4" t="s">
        <v>57</v>
      </c>
      <c r="C289" s="4" t="s">
        <v>98</v>
      </c>
      <c r="D289" s="4" t="s">
        <v>18</v>
      </c>
      <c r="E289" s="4">
        <v>52</v>
      </c>
      <c r="F289" s="4" t="s">
        <v>34</v>
      </c>
      <c r="G289" s="4" t="s">
        <v>111</v>
      </c>
      <c r="H289" s="4" t="s">
        <v>896</v>
      </c>
      <c r="I289" s="4">
        <v>42401</v>
      </c>
      <c r="J289" s="4" t="s">
        <v>68</v>
      </c>
      <c r="K289" s="4" t="s">
        <v>897</v>
      </c>
      <c r="L289" s="4" t="s">
        <v>39</v>
      </c>
      <c r="M289" s="5" t="str">
        <f>IF([1]Employees!$I289&gt;=90000, "High", "Low")</f>
        <v>Low</v>
      </c>
      <c r="N289" s="6" t="str" cm="1">
        <f t="array" ref="N289">_xlfn.IFS([1]Employees!$I289&gt;=90000, "High", [1]Employees!$I289&gt;=50000, "Medium", [1]Employees!$I289&lt;50000, "Low")</f>
        <v>Low</v>
      </c>
      <c r="O289" s="15" t="str">
        <f>IF([1]Employees!$I289&gt;=90000, "High", IF([1]Employees!$I289&gt;=50000, "Medium", "Low"))</f>
        <v>Low</v>
      </c>
    </row>
    <row r="290" spans="1:15" x14ac:dyDescent="0.3">
      <c r="A290" s="4" t="s">
        <v>898</v>
      </c>
      <c r="B290" s="4" t="s">
        <v>52</v>
      </c>
      <c r="C290" s="4" t="s">
        <v>168</v>
      </c>
      <c r="D290" s="4" t="s">
        <v>18</v>
      </c>
      <c r="E290" s="4">
        <v>59</v>
      </c>
      <c r="F290" s="4" t="s">
        <v>34</v>
      </c>
      <c r="G290" s="4" t="s">
        <v>29</v>
      </c>
      <c r="H290" s="4" t="s">
        <v>899</v>
      </c>
      <c r="I290" s="4">
        <v>88760</v>
      </c>
      <c r="J290" s="4" t="s">
        <v>22</v>
      </c>
      <c r="K290" s="4" t="s">
        <v>900</v>
      </c>
      <c r="L290" s="4" t="s">
        <v>24</v>
      </c>
      <c r="M290" s="5" t="str">
        <f>IF([1]Employees!$I290&gt;=90000, "High", "Low")</f>
        <v>Low</v>
      </c>
      <c r="N290" s="6" t="str" cm="1">
        <f t="array" ref="N290">_xlfn.IFS([1]Employees!$I290&gt;=90000, "High", [1]Employees!$I290&gt;=50000, "Medium", [1]Employees!$I290&lt;50000, "Low")</f>
        <v>Medium</v>
      </c>
      <c r="O290" s="15" t="str">
        <f>IF([1]Employees!$I290&gt;=90000, "High", IF([1]Employees!$I290&gt;=50000, "Medium", "Low"))</f>
        <v>Medium</v>
      </c>
    </row>
    <row r="291" spans="1:15" x14ac:dyDescent="0.3">
      <c r="A291" s="4" t="s">
        <v>901</v>
      </c>
      <c r="B291" s="4" t="s">
        <v>97</v>
      </c>
      <c r="C291" s="4" t="s">
        <v>66</v>
      </c>
      <c r="D291" s="4" t="s">
        <v>27</v>
      </c>
      <c r="E291" s="4">
        <v>43</v>
      </c>
      <c r="F291" s="4" t="s">
        <v>42</v>
      </c>
      <c r="G291" s="4" t="s">
        <v>20</v>
      </c>
      <c r="H291" s="4" t="s">
        <v>902</v>
      </c>
      <c r="I291" s="4">
        <v>55436</v>
      </c>
      <c r="J291" s="4" t="s">
        <v>83</v>
      </c>
      <c r="K291" s="4" t="s">
        <v>903</v>
      </c>
      <c r="L291" s="4" t="s">
        <v>24</v>
      </c>
      <c r="M291" s="5" t="str">
        <f>IF([1]Employees!$I291&gt;=90000, "High", "Low")</f>
        <v>Low</v>
      </c>
      <c r="N291" s="6" t="str" cm="1">
        <f t="array" ref="N291">_xlfn.IFS([1]Employees!$I291&gt;=90000, "High", [1]Employees!$I291&gt;=50000, "Medium", [1]Employees!$I291&lt;50000, "Low")</f>
        <v>Medium</v>
      </c>
      <c r="O291" s="15" t="str">
        <f>IF([1]Employees!$I291&gt;=90000, "High", IF([1]Employees!$I291&gt;=50000, "Medium", "Low"))</f>
        <v>Medium</v>
      </c>
    </row>
    <row r="292" spans="1:15" x14ac:dyDescent="0.3">
      <c r="A292" s="4" t="s">
        <v>904</v>
      </c>
      <c r="B292" s="4" t="s">
        <v>61</v>
      </c>
      <c r="C292" s="4" t="s">
        <v>48</v>
      </c>
      <c r="D292" s="4" t="s">
        <v>18</v>
      </c>
      <c r="E292" s="4">
        <v>55</v>
      </c>
      <c r="F292" s="4" t="s">
        <v>34</v>
      </c>
      <c r="G292" s="4" t="s">
        <v>111</v>
      </c>
      <c r="H292" s="4" t="s">
        <v>905</v>
      </c>
      <c r="I292" s="4">
        <v>84404</v>
      </c>
      <c r="J292" s="4" t="s">
        <v>22</v>
      </c>
      <c r="K292" s="4" t="s">
        <v>906</v>
      </c>
      <c r="L292" s="4" t="s">
        <v>39</v>
      </c>
      <c r="M292" s="5" t="str">
        <f>IF([1]Employees!$I292&gt;=90000, "High", "Low")</f>
        <v>Low</v>
      </c>
      <c r="N292" s="6" t="str" cm="1">
        <f t="array" ref="N292">_xlfn.IFS([1]Employees!$I292&gt;=90000, "High", [1]Employees!$I292&gt;=50000, "Medium", [1]Employees!$I292&lt;50000, "Low")</f>
        <v>Medium</v>
      </c>
      <c r="O292" s="15" t="str">
        <f>IF([1]Employees!$I292&gt;=90000, "High", IF([1]Employees!$I292&gt;=50000, "Medium", "Low"))</f>
        <v>Medium</v>
      </c>
    </row>
    <row r="293" spans="1:15" x14ac:dyDescent="0.3">
      <c r="A293" s="4" t="s">
        <v>907</v>
      </c>
      <c r="B293" s="4" t="s">
        <v>146</v>
      </c>
      <c r="C293" s="4" t="s">
        <v>133</v>
      </c>
      <c r="D293" s="4" t="s">
        <v>27</v>
      </c>
      <c r="E293" s="4">
        <v>24</v>
      </c>
      <c r="F293" s="4" t="s">
        <v>42</v>
      </c>
      <c r="G293" s="4" t="s">
        <v>29</v>
      </c>
      <c r="H293" s="4" t="s">
        <v>908</v>
      </c>
      <c r="I293" s="4">
        <v>83157</v>
      </c>
      <c r="J293" s="4" t="s">
        <v>22</v>
      </c>
      <c r="K293" s="4" t="s">
        <v>909</v>
      </c>
      <c r="L293" s="4" t="s">
        <v>39</v>
      </c>
      <c r="M293" s="5" t="str">
        <f>IF([1]Employees!$I293&gt;=90000, "High", "Low")</f>
        <v>Low</v>
      </c>
      <c r="N293" s="6" t="str" cm="1">
        <f t="array" ref="N293">_xlfn.IFS([1]Employees!$I293&gt;=90000, "High", [1]Employees!$I293&gt;=50000, "Medium", [1]Employees!$I293&lt;50000, "Low")</f>
        <v>Medium</v>
      </c>
      <c r="O293" s="15" t="str">
        <f>IF([1]Employees!$I293&gt;=90000, "High", IF([1]Employees!$I293&gt;=50000, "Medium", "Low"))</f>
        <v>Medium</v>
      </c>
    </row>
    <row r="294" spans="1:15" x14ac:dyDescent="0.3">
      <c r="A294" s="4" t="s">
        <v>910</v>
      </c>
      <c r="B294" s="4" t="s">
        <v>41</v>
      </c>
      <c r="C294" s="4" t="s">
        <v>48</v>
      </c>
      <c r="D294" s="4" t="s">
        <v>27</v>
      </c>
      <c r="E294" s="4">
        <v>50</v>
      </c>
      <c r="F294" s="4" t="s">
        <v>34</v>
      </c>
      <c r="G294" s="4" t="s">
        <v>29</v>
      </c>
      <c r="H294" s="4" t="s">
        <v>911</v>
      </c>
      <c r="I294" s="4">
        <v>49330</v>
      </c>
      <c r="J294" s="4" t="s">
        <v>68</v>
      </c>
      <c r="K294" s="4" t="s">
        <v>912</v>
      </c>
      <c r="L294" s="4" t="s">
        <v>24</v>
      </c>
      <c r="M294" s="5" t="str">
        <f>IF([1]Employees!$I294&gt;=90000, "High", "Low")</f>
        <v>Low</v>
      </c>
      <c r="N294" s="6" t="str" cm="1">
        <f t="array" ref="N294">_xlfn.IFS([1]Employees!$I294&gt;=90000, "High", [1]Employees!$I294&gt;=50000, "Medium", [1]Employees!$I294&lt;50000, "Low")</f>
        <v>Low</v>
      </c>
      <c r="O294" s="15" t="str">
        <f>IF([1]Employees!$I294&gt;=90000, "High", IF([1]Employees!$I294&gt;=50000, "Medium", "Low"))</f>
        <v>Low</v>
      </c>
    </row>
    <row r="295" spans="1:15" x14ac:dyDescent="0.3">
      <c r="A295" s="4" t="s">
        <v>913</v>
      </c>
      <c r="B295" s="4" t="s">
        <v>16</v>
      </c>
      <c r="C295" s="4" t="s">
        <v>48</v>
      </c>
      <c r="D295" s="4" t="s">
        <v>27</v>
      </c>
      <c r="E295" s="4">
        <v>40</v>
      </c>
      <c r="F295" s="4" t="s">
        <v>28</v>
      </c>
      <c r="G295" s="4" t="s">
        <v>43</v>
      </c>
      <c r="H295" s="4" t="s">
        <v>914</v>
      </c>
      <c r="I295" s="4">
        <v>89213</v>
      </c>
      <c r="J295" s="4" t="s">
        <v>37</v>
      </c>
      <c r="K295" s="4" t="s">
        <v>915</v>
      </c>
      <c r="L295" s="4" t="s">
        <v>24</v>
      </c>
      <c r="M295" s="5" t="str">
        <f>IF([1]Employees!$I295&gt;=90000, "High", "Low")</f>
        <v>Low</v>
      </c>
      <c r="N295" s="6" t="str" cm="1">
        <f t="array" ref="N295">_xlfn.IFS([1]Employees!$I295&gt;=90000, "High", [1]Employees!$I295&gt;=50000, "Medium", [1]Employees!$I295&lt;50000, "Low")</f>
        <v>Medium</v>
      </c>
      <c r="O295" s="15" t="str">
        <f>IF([1]Employees!$I295&gt;=90000, "High", IF([1]Employees!$I295&gt;=50000, "Medium", "Low"))</f>
        <v>Medium</v>
      </c>
    </row>
    <row r="296" spans="1:15" x14ac:dyDescent="0.3">
      <c r="A296" s="4" t="s">
        <v>916</v>
      </c>
      <c r="B296" s="4" t="s">
        <v>146</v>
      </c>
      <c r="C296" s="4" t="s">
        <v>66</v>
      </c>
      <c r="D296" s="4" t="s">
        <v>27</v>
      </c>
      <c r="E296" s="4">
        <v>29</v>
      </c>
      <c r="F296" s="4" t="s">
        <v>19</v>
      </c>
      <c r="G296" s="4" t="s">
        <v>35</v>
      </c>
      <c r="H296" s="4" t="s">
        <v>917</v>
      </c>
      <c r="I296" s="4">
        <v>75306</v>
      </c>
      <c r="J296" s="4" t="s">
        <v>68</v>
      </c>
      <c r="K296" s="4" t="s">
        <v>918</v>
      </c>
      <c r="L296" s="4" t="s">
        <v>39</v>
      </c>
      <c r="M296" s="5" t="str">
        <f>IF([1]Employees!$I296&gt;=90000, "High", "Low")</f>
        <v>Low</v>
      </c>
      <c r="N296" s="6" t="str" cm="1">
        <f t="array" ref="N296">_xlfn.IFS([1]Employees!$I296&gt;=90000, "High", [1]Employees!$I296&gt;=50000, "Medium", [1]Employees!$I296&lt;50000, "Low")</f>
        <v>Medium</v>
      </c>
      <c r="O296" s="15" t="str">
        <f>IF([1]Employees!$I296&gt;=90000, "High", IF([1]Employees!$I296&gt;=50000, "Medium", "Low"))</f>
        <v>Medium</v>
      </c>
    </row>
    <row r="297" spans="1:15" x14ac:dyDescent="0.3">
      <c r="A297" s="4" t="s">
        <v>919</v>
      </c>
      <c r="B297" s="4" t="s">
        <v>33</v>
      </c>
      <c r="C297" s="4" t="s">
        <v>98</v>
      </c>
      <c r="D297" s="4" t="s">
        <v>18</v>
      </c>
      <c r="E297" s="4">
        <v>33</v>
      </c>
      <c r="F297" s="4" t="s">
        <v>28</v>
      </c>
      <c r="G297" s="4" t="s">
        <v>29</v>
      </c>
      <c r="H297" s="4" t="s">
        <v>920</v>
      </c>
      <c r="I297" s="4">
        <v>88151</v>
      </c>
      <c r="J297" s="4" t="s">
        <v>83</v>
      </c>
      <c r="K297" s="4" t="s">
        <v>921</v>
      </c>
      <c r="L297" s="4" t="s">
        <v>39</v>
      </c>
      <c r="M297" s="5" t="str">
        <f>IF([1]Employees!$I297&gt;=90000, "High", "Low")</f>
        <v>Low</v>
      </c>
      <c r="N297" s="6" t="str" cm="1">
        <f t="array" ref="N297">_xlfn.IFS([1]Employees!$I297&gt;=90000, "High", [1]Employees!$I297&gt;=50000, "Medium", [1]Employees!$I297&lt;50000, "Low")</f>
        <v>Medium</v>
      </c>
      <c r="O297" s="15" t="str">
        <f>IF([1]Employees!$I297&gt;=90000, "High", IF([1]Employees!$I297&gt;=50000, "Medium", "Low"))</f>
        <v>Medium</v>
      </c>
    </row>
    <row r="298" spans="1:15" x14ac:dyDescent="0.3">
      <c r="A298" s="4" t="s">
        <v>922</v>
      </c>
      <c r="B298" s="4" t="s">
        <v>16</v>
      </c>
      <c r="C298" s="4" t="s">
        <v>81</v>
      </c>
      <c r="D298" s="4" t="s">
        <v>27</v>
      </c>
      <c r="E298" s="4">
        <v>36</v>
      </c>
      <c r="F298" s="4" t="s">
        <v>34</v>
      </c>
      <c r="G298" s="4" t="s">
        <v>35</v>
      </c>
      <c r="H298" s="4" t="s">
        <v>923</v>
      </c>
      <c r="I298" s="4">
        <v>112274</v>
      </c>
      <c r="J298" s="4" t="s">
        <v>63</v>
      </c>
      <c r="K298" s="4" t="s">
        <v>924</v>
      </c>
      <c r="L298" s="4" t="s">
        <v>39</v>
      </c>
      <c r="M298" s="5" t="str">
        <f>IF([1]Employees!$I298&gt;=90000, "High", "Low")</f>
        <v>High</v>
      </c>
      <c r="N298" s="6" t="str" cm="1">
        <f t="array" ref="N298">_xlfn.IFS([1]Employees!$I298&gt;=90000, "High", [1]Employees!$I298&gt;=50000, "Medium", [1]Employees!$I298&lt;50000, "Low")</f>
        <v>High</v>
      </c>
      <c r="O298" s="15" t="str">
        <f>IF([1]Employees!$I298&gt;=90000, "High", IF([1]Employees!$I298&gt;=50000, "Medium", "Low"))</f>
        <v>High</v>
      </c>
    </row>
    <row r="299" spans="1:15" x14ac:dyDescent="0.3">
      <c r="A299" s="4" t="s">
        <v>925</v>
      </c>
      <c r="B299" s="4" t="s">
        <v>74</v>
      </c>
      <c r="C299" s="4" t="s">
        <v>17</v>
      </c>
      <c r="D299" s="4" t="s">
        <v>18</v>
      </c>
      <c r="E299" s="4">
        <v>39</v>
      </c>
      <c r="F299" s="4" t="s">
        <v>19</v>
      </c>
      <c r="G299" s="4" t="s">
        <v>43</v>
      </c>
      <c r="H299" s="4" t="s">
        <v>926</v>
      </c>
      <c r="I299" s="4">
        <v>55507</v>
      </c>
      <c r="J299" s="4" t="s">
        <v>83</v>
      </c>
      <c r="K299" s="4" t="s">
        <v>927</v>
      </c>
      <c r="L299" s="4" t="s">
        <v>24</v>
      </c>
      <c r="M299" s="5" t="str">
        <f>IF([1]Employees!$I299&gt;=90000, "High", "Low")</f>
        <v>Low</v>
      </c>
      <c r="N299" s="6" t="str" cm="1">
        <f t="array" ref="N299">_xlfn.IFS([1]Employees!$I299&gt;=90000, "High", [1]Employees!$I299&gt;=50000, "Medium", [1]Employees!$I299&lt;50000, "Low")</f>
        <v>Medium</v>
      </c>
      <c r="O299" s="15" t="str">
        <f>IF([1]Employees!$I299&gt;=90000, "High", IF([1]Employees!$I299&gt;=50000, "Medium", "Low"))</f>
        <v>Medium</v>
      </c>
    </row>
    <row r="300" spans="1:15" x14ac:dyDescent="0.3">
      <c r="A300" s="4" t="s">
        <v>928</v>
      </c>
      <c r="B300" s="4" t="s">
        <v>33</v>
      </c>
      <c r="C300" s="4" t="s">
        <v>98</v>
      </c>
      <c r="D300" s="4" t="s">
        <v>18</v>
      </c>
      <c r="E300" s="4">
        <v>24</v>
      </c>
      <c r="F300" s="4" t="s">
        <v>53</v>
      </c>
      <c r="G300" s="4" t="s">
        <v>20</v>
      </c>
      <c r="H300" s="4" t="s">
        <v>929</v>
      </c>
      <c r="I300" s="4">
        <v>66638</v>
      </c>
      <c r="J300" s="4" t="s">
        <v>68</v>
      </c>
      <c r="K300" s="4" t="s">
        <v>930</v>
      </c>
      <c r="L300" s="4" t="s">
        <v>24</v>
      </c>
      <c r="M300" s="5" t="str">
        <f>IF([1]Employees!$I300&gt;=90000, "High", "Low")</f>
        <v>Low</v>
      </c>
      <c r="N300" s="6" t="str" cm="1">
        <f t="array" ref="N300">_xlfn.IFS([1]Employees!$I300&gt;=90000, "High", [1]Employees!$I300&gt;=50000, "Medium", [1]Employees!$I300&lt;50000, "Low")</f>
        <v>Medium</v>
      </c>
      <c r="O300" s="15" t="str">
        <f>IF([1]Employees!$I300&gt;=90000, "High", IF([1]Employees!$I300&gt;=50000, "Medium", "Low"))</f>
        <v>Medium</v>
      </c>
    </row>
    <row r="301" spans="1:15" x14ac:dyDescent="0.3">
      <c r="A301" s="4" t="s">
        <v>931</v>
      </c>
      <c r="B301" s="4" t="s">
        <v>47</v>
      </c>
      <c r="C301" s="4" t="s">
        <v>81</v>
      </c>
      <c r="D301" s="4" t="s">
        <v>18</v>
      </c>
      <c r="E301" s="4">
        <v>51</v>
      </c>
      <c r="F301" s="4" t="s">
        <v>19</v>
      </c>
      <c r="G301" s="4" t="s">
        <v>111</v>
      </c>
      <c r="H301" s="4" t="s">
        <v>932</v>
      </c>
      <c r="I301" s="4">
        <v>43356</v>
      </c>
      <c r="J301" s="4" t="s">
        <v>68</v>
      </c>
      <c r="K301" s="4" t="s">
        <v>933</v>
      </c>
      <c r="L301" s="4" t="s">
        <v>24</v>
      </c>
      <c r="M301" s="5" t="str">
        <f>IF([1]Employees!$I301&gt;=90000, "High", "Low")</f>
        <v>Low</v>
      </c>
      <c r="N301" s="6" t="str" cm="1">
        <f t="array" ref="N301">_xlfn.IFS([1]Employees!$I301&gt;=90000, "High", [1]Employees!$I301&gt;=50000, "Medium", [1]Employees!$I301&lt;50000, "Low")</f>
        <v>Low</v>
      </c>
      <c r="O301" s="15" t="str">
        <f>IF([1]Employees!$I301&gt;=90000, "High", IF([1]Employees!$I301&gt;=50000, "Medium", "Low"))</f>
        <v>Low</v>
      </c>
    </row>
    <row r="302" spans="1:15" x14ac:dyDescent="0.3">
      <c r="A302" s="4" t="s">
        <v>934</v>
      </c>
      <c r="B302" s="4" t="s">
        <v>41</v>
      </c>
      <c r="C302" s="4" t="s">
        <v>133</v>
      </c>
      <c r="D302" s="4" t="s">
        <v>18</v>
      </c>
      <c r="E302" s="4">
        <v>44</v>
      </c>
      <c r="F302" s="4" t="s">
        <v>34</v>
      </c>
      <c r="G302" s="4" t="s">
        <v>43</v>
      </c>
      <c r="H302" s="4" t="s">
        <v>935</v>
      </c>
      <c r="I302" s="4">
        <v>82425</v>
      </c>
      <c r="J302" s="4" t="s">
        <v>83</v>
      </c>
      <c r="K302" s="4" t="s">
        <v>936</v>
      </c>
      <c r="L302" s="4" t="s">
        <v>24</v>
      </c>
      <c r="M302" s="5" t="str">
        <f>IF([1]Employees!$I302&gt;=90000, "High", "Low")</f>
        <v>Low</v>
      </c>
      <c r="N302" s="6" t="str" cm="1">
        <f t="array" ref="N302">_xlfn.IFS([1]Employees!$I302&gt;=90000, "High", [1]Employees!$I302&gt;=50000, "Medium", [1]Employees!$I302&lt;50000, "Low")</f>
        <v>Medium</v>
      </c>
      <c r="O302" s="15" t="str">
        <f>IF([1]Employees!$I302&gt;=90000, "High", IF([1]Employees!$I302&gt;=50000, "Medium", "Low"))</f>
        <v>Medium</v>
      </c>
    </row>
    <row r="303" spans="1:15" x14ac:dyDescent="0.3">
      <c r="A303" s="4" t="s">
        <v>937</v>
      </c>
      <c r="B303" s="4" t="s">
        <v>47</v>
      </c>
      <c r="C303" s="4" t="s">
        <v>26</v>
      </c>
      <c r="D303" s="4" t="s">
        <v>18</v>
      </c>
      <c r="E303" s="4">
        <v>23</v>
      </c>
      <c r="F303" s="4" t="s">
        <v>42</v>
      </c>
      <c r="G303" s="4" t="s">
        <v>43</v>
      </c>
      <c r="H303" s="4" t="s">
        <v>418</v>
      </c>
      <c r="I303" s="4">
        <v>79670</v>
      </c>
      <c r="J303" s="4" t="s">
        <v>83</v>
      </c>
      <c r="K303" s="4" t="s">
        <v>938</v>
      </c>
      <c r="L303" s="4" t="s">
        <v>39</v>
      </c>
      <c r="M303" s="5" t="str">
        <f>IF([1]Employees!$I303&gt;=90000, "High", "Low")</f>
        <v>Low</v>
      </c>
      <c r="N303" s="6" t="str" cm="1">
        <f t="array" ref="N303">_xlfn.IFS([1]Employees!$I303&gt;=90000, "High", [1]Employees!$I303&gt;=50000, "Medium", [1]Employees!$I303&lt;50000, "Low")</f>
        <v>Medium</v>
      </c>
      <c r="O303" s="15" t="str">
        <f>IF([1]Employees!$I303&gt;=90000, "High", IF([1]Employees!$I303&gt;=50000, "Medium", "Low"))</f>
        <v>Medium</v>
      </c>
    </row>
    <row r="304" spans="1:15" x14ac:dyDescent="0.3">
      <c r="A304" s="4" t="s">
        <v>939</v>
      </c>
      <c r="B304" s="4" t="s">
        <v>16</v>
      </c>
      <c r="C304" s="4" t="s">
        <v>17</v>
      </c>
      <c r="D304" s="4" t="s">
        <v>27</v>
      </c>
      <c r="E304" s="4">
        <v>58</v>
      </c>
      <c r="F304" s="4" t="s">
        <v>53</v>
      </c>
      <c r="G304" s="4" t="s">
        <v>35</v>
      </c>
      <c r="H304" s="4" t="s">
        <v>940</v>
      </c>
      <c r="I304" s="4">
        <v>85427</v>
      </c>
      <c r="J304" s="4" t="s">
        <v>68</v>
      </c>
      <c r="K304" s="4" t="s">
        <v>941</v>
      </c>
      <c r="L304" s="4" t="s">
        <v>39</v>
      </c>
      <c r="M304" s="5" t="str">
        <f>IF([1]Employees!$I304&gt;=90000, "High", "Low")</f>
        <v>Low</v>
      </c>
      <c r="N304" s="6" t="str" cm="1">
        <f t="array" ref="N304">_xlfn.IFS([1]Employees!$I304&gt;=90000, "High", [1]Employees!$I304&gt;=50000, "Medium", [1]Employees!$I304&lt;50000, "Low")</f>
        <v>Medium</v>
      </c>
      <c r="O304" s="15" t="str">
        <f>IF([1]Employees!$I304&gt;=90000, "High", IF([1]Employees!$I304&gt;=50000, "Medium", "Low"))</f>
        <v>Medium</v>
      </c>
    </row>
    <row r="305" spans="1:15" x14ac:dyDescent="0.3">
      <c r="A305" s="4" t="s">
        <v>942</v>
      </c>
      <c r="B305" s="4" t="s">
        <v>146</v>
      </c>
      <c r="C305" s="4" t="s">
        <v>98</v>
      </c>
      <c r="D305" s="4" t="s">
        <v>18</v>
      </c>
      <c r="E305" s="4">
        <v>25</v>
      </c>
      <c r="F305" s="4" t="s">
        <v>28</v>
      </c>
      <c r="G305" s="4" t="s">
        <v>111</v>
      </c>
      <c r="H305" s="4" t="s">
        <v>943</v>
      </c>
      <c r="I305" s="4">
        <v>76975</v>
      </c>
      <c r="J305" s="4" t="s">
        <v>37</v>
      </c>
      <c r="K305" s="4" t="s">
        <v>944</v>
      </c>
      <c r="L305" s="4" t="s">
        <v>24</v>
      </c>
      <c r="M305" s="5" t="str">
        <f>IF([1]Employees!$I305&gt;=90000, "High", "Low")</f>
        <v>Low</v>
      </c>
      <c r="N305" s="6" t="str" cm="1">
        <f t="array" ref="N305">_xlfn.IFS([1]Employees!$I305&gt;=90000, "High", [1]Employees!$I305&gt;=50000, "Medium", [1]Employees!$I305&lt;50000, "Low")</f>
        <v>Medium</v>
      </c>
      <c r="O305" s="15" t="str">
        <f>IF([1]Employees!$I305&gt;=90000, "High", IF([1]Employees!$I305&gt;=50000, "Medium", "Low"))</f>
        <v>Medium</v>
      </c>
    </row>
    <row r="306" spans="1:15" x14ac:dyDescent="0.3">
      <c r="A306" s="4" t="s">
        <v>945</v>
      </c>
      <c r="B306" s="4" t="s">
        <v>41</v>
      </c>
      <c r="C306" s="4" t="s">
        <v>48</v>
      </c>
      <c r="D306" s="4" t="s">
        <v>18</v>
      </c>
      <c r="E306" s="4">
        <v>40</v>
      </c>
      <c r="F306" s="4" t="s">
        <v>19</v>
      </c>
      <c r="G306" s="4" t="s">
        <v>43</v>
      </c>
      <c r="H306" s="4" t="s">
        <v>946</v>
      </c>
      <c r="I306" s="4">
        <v>52019</v>
      </c>
      <c r="J306" s="4" t="s">
        <v>83</v>
      </c>
      <c r="K306" s="4" t="s">
        <v>947</v>
      </c>
      <c r="L306" s="4" t="s">
        <v>24</v>
      </c>
      <c r="M306" s="5" t="str">
        <f>IF([1]Employees!$I306&gt;=90000, "High", "Low")</f>
        <v>Low</v>
      </c>
      <c r="N306" s="6" t="str" cm="1">
        <f t="array" ref="N306">_xlfn.IFS([1]Employees!$I306&gt;=90000, "High", [1]Employees!$I306&gt;=50000, "Medium", [1]Employees!$I306&lt;50000, "Low")</f>
        <v>Medium</v>
      </c>
      <c r="O306" s="15" t="str">
        <f>IF([1]Employees!$I306&gt;=90000, "High", IF([1]Employees!$I306&gt;=50000, "Medium", "Low"))</f>
        <v>Medium</v>
      </c>
    </row>
    <row r="307" spans="1:15" x14ac:dyDescent="0.3">
      <c r="A307" s="4" t="s">
        <v>948</v>
      </c>
      <c r="B307" s="4" t="s">
        <v>61</v>
      </c>
      <c r="C307" s="4" t="s">
        <v>133</v>
      </c>
      <c r="D307" s="4" t="s">
        <v>18</v>
      </c>
      <c r="E307" s="4">
        <v>22</v>
      </c>
      <c r="F307" s="4" t="s">
        <v>19</v>
      </c>
      <c r="G307" s="4" t="s">
        <v>111</v>
      </c>
      <c r="H307" s="4" t="s">
        <v>949</v>
      </c>
      <c r="I307" s="4">
        <v>89336</v>
      </c>
      <c r="J307" s="4" t="s">
        <v>68</v>
      </c>
      <c r="K307" s="4" t="s">
        <v>950</v>
      </c>
      <c r="L307" s="4" t="s">
        <v>24</v>
      </c>
      <c r="M307" s="5" t="str">
        <f>IF([1]Employees!$I307&gt;=90000, "High", "Low")</f>
        <v>Low</v>
      </c>
      <c r="N307" s="6" t="str" cm="1">
        <f t="array" ref="N307">_xlfn.IFS([1]Employees!$I307&gt;=90000, "High", [1]Employees!$I307&gt;=50000, "Medium", [1]Employees!$I307&lt;50000, "Low")</f>
        <v>Medium</v>
      </c>
      <c r="O307" s="15" t="str">
        <f>IF([1]Employees!$I307&gt;=90000, "High", IF([1]Employees!$I307&gt;=50000, "Medium", "Low"))</f>
        <v>Medium</v>
      </c>
    </row>
    <row r="308" spans="1:15" x14ac:dyDescent="0.3">
      <c r="A308" s="4" t="s">
        <v>951</v>
      </c>
      <c r="B308" s="4" t="s">
        <v>41</v>
      </c>
      <c r="C308" s="4" t="s">
        <v>81</v>
      </c>
      <c r="D308" s="4" t="s">
        <v>27</v>
      </c>
      <c r="E308" s="4">
        <v>41</v>
      </c>
      <c r="F308" s="4" t="s">
        <v>53</v>
      </c>
      <c r="G308" s="4" t="s">
        <v>35</v>
      </c>
      <c r="H308" s="4" t="s">
        <v>952</v>
      </c>
      <c r="I308" s="4">
        <v>81363</v>
      </c>
      <c r="J308" s="4" t="s">
        <v>63</v>
      </c>
      <c r="K308" s="4" t="s">
        <v>953</v>
      </c>
      <c r="L308" s="4" t="s">
        <v>39</v>
      </c>
      <c r="M308" s="5" t="str">
        <f>IF([1]Employees!$I308&gt;=90000, "High", "Low")</f>
        <v>Low</v>
      </c>
      <c r="N308" s="6" t="str" cm="1">
        <f t="array" ref="N308">_xlfn.IFS([1]Employees!$I308&gt;=90000, "High", [1]Employees!$I308&gt;=50000, "Medium", [1]Employees!$I308&lt;50000, "Low")</f>
        <v>Medium</v>
      </c>
      <c r="O308" s="15" t="str">
        <f>IF([1]Employees!$I308&gt;=90000, "High", IF([1]Employees!$I308&gt;=50000, "Medium", "Low"))</f>
        <v>Medium</v>
      </c>
    </row>
    <row r="309" spans="1:15" x14ac:dyDescent="0.3">
      <c r="A309" s="4" t="s">
        <v>954</v>
      </c>
      <c r="B309" s="4" t="s">
        <v>52</v>
      </c>
      <c r="C309" s="4" t="s">
        <v>86</v>
      </c>
      <c r="D309" s="4" t="s">
        <v>27</v>
      </c>
      <c r="E309" s="4">
        <v>45</v>
      </c>
      <c r="F309" s="4" t="s">
        <v>53</v>
      </c>
      <c r="G309" s="4" t="s">
        <v>20</v>
      </c>
      <c r="H309" s="4" t="s">
        <v>955</v>
      </c>
      <c r="I309" s="4">
        <v>74751</v>
      </c>
      <c r="J309" s="4" t="s">
        <v>63</v>
      </c>
      <c r="K309" s="4" t="s">
        <v>956</v>
      </c>
      <c r="L309" s="4" t="s">
        <v>24</v>
      </c>
      <c r="M309" s="5" t="str">
        <f>IF([1]Employees!$I309&gt;=90000, "High", "Low")</f>
        <v>Low</v>
      </c>
      <c r="N309" s="6" t="str" cm="1">
        <f t="array" ref="N309">_xlfn.IFS([1]Employees!$I309&gt;=90000, "High", [1]Employees!$I309&gt;=50000, "Medium", [1]Employees!$I309&lt;50000, "Low")</f>
        <v>Medium</v>
      </c>
      <c r="O309" s="15" t="str">
        <f>IF([1]Employees!$I309&gt;=90000, "High", IF([1]Employees!$I309&gt;=50000, "Medium", "Low"))</f>
        <v>Medium</v>
      </c>
    </row>
    <row r="310" spans="1:15" x14ac:dyDescent="0.3">
      <c r="A310" s="4" t="s">
        <v>957</v>
      </c>
      <c r="B310" s="4" t="s">
        <v>146</v>
      </c>
      <c r="C310" s="4" t="s">
        <v>66</v>
      </c>
      <c r="D310" s="4" t="s">
        <v>18</v>
      </c>
      <c r="E310" s="4">
        <v>55</v>
      </c>
      <c r="F310" s="4" t="s">
        <v>53</v>
      </c>
      <c r="G310" s="4" t="s">
        <v>43</v>
      </c>
      <c r="H310" s="4" t="s">
        <v>196</v>
      </c>
      <c r="I310" s="4">
        <v>75014</v>
      </c>
      <c r="J310" s="4" t="s">
        <v>68</v>
      </c>
      <c r="K310" s="4" t="s">
        <v>958</v>
      </c>
      <c r="L310" s="4" t="s">
        <v>24</v>
      </c>
      <c r="M310" s="5" t="str">
        <f>IF([1]Employees!$I310&gt;=90000, "High", "Low")</f>
        <v>Low</v>
      </c>
      <c r="N310" s="6" t="str" cm="1">
        <f t="array" ref="N310">_xlfn.IFS([1]Employees!$I310&gt;=90000, "High", [1]Employees!$I310&gt;=50000, "Medium", [1]Employees!$I310&lt;50000, "Low")</f>
        <v>Medium</v>
      </c>
      <c r="O310" s="15" t="str">
        <f>IF([1]Employees!$I310&gt;=90000, "High", IF([1]Employees!$I310&gt;=50000, "Medium", "Low"))</f>
        <v>Medium</v>
      </c>
    </row>
    <row r="311" spans="1:15" x14ac:dyDescent="0.3">
      <c r="A311" s="4" t="s">
        <v>959</v>
      </c>
      <c r="B311" s="4" t="s">
        <v>57</v>
      </c>
      <c r="C311" s="4" t="s">
        <v>66</v>
      </c>
      <c r="D311" s="4" t="s">
        <v>18</v>
      </c>
      <c r="E311" s="4">
        <v>55</v>
      </c>
      <c r="F311" s="4" t="s">
        <v>42</v>
      </c>
      <c r="G311" s="4" t="s">
        <v>29</v>
      </c>
      <c r="H311" s="4" t="s">
        <v>960</v>
      </c>
      <c r="I311" s="4">
        <v>98004</v>
      </c>
      <c r="J311" s="4" t="s">
        <v>63</v>
      </c>
      <c r="K311" s="4" t="s">
        <v>961</v>
      </c>
      <c r="L311" s="4" t="s">
        <v>39</v>
      </c>
      <c r="M311" s="5" t="str">
        <f>IF([1]Employees!$I311&gt;=90000, "High", "Low")</f>
        <v>High</v>
      </c>
      <c r="N311" s="6" t="str" cm="1">
        <f t="array" ref="N311">_xlfn.IFS([1]Employees!$I311&gt;=90000, "High", [1]Employees!$I311&gt;=50000, "Medium", [1]Employees!$I311&lt;50000, "Low")</f>
        <v>High</v>
      </c>
      <c r="O311" s="15" t="str">
        <f>IF([1]Employees!$I311&gt;=90000, "High", IF([1]Employees!$I311&gt;=50000, "Medium", "Low"))</f>
        <v>High</v>
      </c>
    </row>
    <row r="312" spans="1:15" x14ac:dyDescent="0.3">
      <c r="A312" s="4" t="s">
        <v>962</v>
      </c>
      <c r="B312" s="4" t="s">
        <v>57</v>
      </c>
      <c r="C312" s="4" t="s">
        <v>26</v>
      </c>
      <c r="D312" s="4" t="s">
        <v>18</v>
      </c>
      <c r="E312" s="4">
        <v>27</v>
      </c>
      <c r="F312" s="4" t="s">
        <v>53</v>
      </c>
      <c r="G312" s="4" t="s">
        <v>20</v>
      </c>
      <c r="H312" s="4" t="s">
        <v>469</v>
      </c>
      <c r="I312" s="4">
        <v>86048</v>
      </c>
      <c r="J312" s="4" t="s">
        <v>22</v>
      </c>
      <c r="K312" s="4" t="s">
        <v>963</v>
      </c>
      <c r="L312" s="4" t="s">
        <v>24</v>
      </c>
      <c r="M312" s="5" t="str">
        <f>IF([1]Employees!$I312&gt;=90000, "High", "Low")</f>
        <v>Low</v>
      </c>
      <c r="N312" s="6" t="str" cm="1">
        <f t="array" ref="N312">_xlfn.IFS([1]Employees!$I312&gt;=90000, "High", [1]Employees!$I312&gt;=50000, "Medium", [1]Employees!$I312&lt;50000, "Low")</f>
        <v>Medium</v>
      </c>
      <c r="O312" s="15" t="str">
        <f>IF([1]Employees!$I312&gt;=90000, "High", IF([1]Employees!$I312&gt;=50000, "Medium", "Low"))</f>
        <v>Medium</v>
      </c>
    </row>
    <row r="313" spans="1:15" x14ac:dyDescent="0.3">
      <c r="A313" s="4" t="s">
        <v>964</v>
      </c>
      <c r="B313" s="4" t="s">
        <v>146</v>
      </c>
      <c r="C313" s="4" t="s">
        <v>168</v>
      </c>
      <c r="D313" s="4" t="s">
        <v>27</v>
      </c>
      <c r="E313" s="4">
        <v>47</v>
      </c>
      <c r="F313" s="4" t="s">
        <v>34</v>
      </c>
      <c r="G313" s="4" t="s">
        <v>35</v>
      </c>
      <c r="H313" s="4" t="s">
        <v>965</v>
      </c>
      <c r="I313" s="4">
        <v>105072</v>
      </c>
      <c r="J313" s="4" t="s">
        <v>37</v>
      </c>
      <c r="K313" s="4" t="s">
        <v>966</v>
      </c>
      <c r="L313" s="4" t="s">
        <v>39</v>
      </c>
      <c r="M313" s="5" t="str">
        <f>IF([1]Employees!$I313&gt;=90000, "High", "Low")</f>
        <v>High</v>
      </c>
      <c r="N313" s="6" t="str" cm="1">
        <f t="array" ref="N313">_xlfn.IFS([1]Employees!$I313&gt;=90000, "High", [1]Employees!$I313&gt;=50000, "Medium", [1]Employees!$I313&lt;50000, "Low")</f>
        <v>High</v>
      </c>
      <c r="O313" s="15" t="str">
        <f>IF([1]Employees!$I313&gt;=90000, "High", IF([1]Employees!$I313&gt;=50000, "Medium", "Low"))</f>
        <v>High</v>
      </c>
    </row>
    <row r="314" spans="1:15" x14ac:dyDescent="0.3">
      <c r="A314" s="4" t="s">
        <v>967</v>
      </c>
      <c r="B314" s="4" t="s">
        <v>47</v>
      </c>
      <c r="C314" s="4" t="s">
        <v>168</v>
      </c>
      <c r="D314" s="4" t="s">
        <v>27</v>
      </c>
      <c r="E314" s="4">
        <v>24</v>
      </c>
      <c r="F314" s="4" t="s">
        <v>42</v>
      </c>
      <c r="G314" s="4" t="s">
        <v>20</v>
      </c>
      <c r="H314" s="4" t="s">
        <v>968</v>
      </c>
      <c r="I314" s="4">
        <v>54389</v>
      </c>
      <c r="J314" s="4" t="s">
        <v>37</v>
      </c>
      <c r="K314" s="4" t="s">
        <v>969</v>
      </c>
      <c r="L314" s="4" t="s">
        <v>39</v>
      </c>
      <c r="M314" s="5" t="str">
        <f>IF([1]Employees!$I314&gt;=90000, "High", "Low")</f>
        <v>Low</v>
      </c>
      <c r="N314" s="6" t="str" cm="1">
        <f t="array" ref="N314">_xlfn.IFS([1]Employees!$I314&gt;=90000, "High", [1]Employees!$I314&gt;=50000, "Medium", [1]Employees!$I314&lt;50000, "Low")</f>
        <v>Medium</v>
      </c>
      <c r="O314" s="15" t="str">
        <f>IF([1]Employees!$I314&gt;=90000, "High", IF([1]Employees!$I314&gt;=50000, "Medium", "Low"))</f>
        <v>Medium</v>
      </c>
    </row>
    <row r="315" spans="1:15" x14ac:dyDescent="0.3">
      <c r="A315" s="4" t="s">
        <v>970</v>
      </c>
      <c r="B315" s="4" t="s">
        <v>33</v>
      </c>
      <c r="C315" s="4" t="s">
        <v>26</v>
      </c>
      <c r="D315" s="4" t="s">
        <v>18</v>
      </c>
      <c r="E315" s="4">
        <v>58</v>
      </c>
      <c r="F315" s="4" t="s">
        <v>53</v>
      </c>
      <c r="G315" s="4" t="s">
        <v>20</v>
      </c>
      <c r="H315" s="4" t="s">
        <v>971</v>
      </c>
      <c r="I315" s="4">
        <v>48029</v>
      </c>
      <c r="J315" s="4" t="s">
        <v>37</v>
      </c>
      <c r="K315" s="4" t="s">
        <v>972</v>
      </c>
      <c r="L315" s="4" t="s">
        <v>24</v>
      </c>
      <c r="M315" s="5" t="str">
        <f>IF([1]Employees!$I315&gt;=90000, "High", "Low")</f>
        <v>Low</v>
      </c>
      <c r="N315" s="6" t="str" cm="1">
        <f t="array" ref="N315">_xlfn.IFS([1]Employees!$I315&gt;=90000, "High", [1]Employees!$I315&gt;=50000, "Medium", [1]Employees!$I315&lt;50000, "Low")</f>
        <v>Low</v>
      </c>
      <c r="O315" s="15" t="str">
        <f>IF([1]Employees!$I315&gt;=90000, "High", IF([1]Employees!$I315&gt;=50000, "Medium", "Low"))</f>
        <v>Low</v>
      </c>
    </row>
    <row r="316" spans="1:15" x14ac:dyDescent="0.3">
      <c r="A316" s="4" t="s">
        <v>973</v>
      </c>
      <c r="B316" s="4" t="s">
        <v>16</v>
      </c>
      <c r="C316" s="4" t="s">
        <v>168</v>
      </c>
      <c r="D316" s="4" t="s">
        <v>18</v>
      </c>
      <c r="E316" s="4">
        <v>45</v>
      </c>
      <c r="F316" s="4" t="s">
        <v>53</v>
      </c>
      <c r="G316" s="4" t="s">
        <v>20</v>
      </c>
      <c r="H316" s="4" t="s">
        <v>974</v>
      </c>
      <c r="I316" s="4">
        <v>98879</v>
      </c>
      <c r="J316" s="4" t="s">
        <v>68</v>
      </c>
      <c r="K316" s="4" t="s">
        <v>975</v>
      </c>
      <c r="L316" s="4" t="s">
        <v>24</v>
      </c>
      <c r="M316" s="5" t="str">
        <f>IF([1]Employees!$I316&gt;=90000, "High", "Low")</f>
        <v>High</v>
      </c>
      <c r="N316" s="6" t="str" cm="1">
        <f t="array" ref="N316">_xlfn.IFS([1]Employees!$I316&gt;=90000, "High", [1]Employees!$I316&gt;=50000, "Medium", [1]Employees!$I316&lt;50000, "Low")</f>
        <v>High</v>
      </c>
      <c r="O316" s="15" t="str">
        <f>IF([1]Employees!$I316&gt;=90000, "High", IF([1]Employees!$I316&gt;=50000, "Medium", "Low"))</f>
        <v>High</v>
      </c>
    </row>
    <row r="317" spans="1:15" x14ac:dyDescent="0.3">
      <c r="A317" s="4" t="s">
        <v>976</v>
      </c>
      <c r="B317" s="4" t="s">
        <v>57</v>
      </c>
      <c r="C317" s="4" t="s">
        <v>133</v>
      </c>
      <c r="D317" s="4" t="s">
        <v>18</v>
      </c>
      <c r="E317" s="4">
        <v>41</v>
      </c>
      <c r="F317" s="4" t="s">
        <v>42</v>
      </c>
      <c r="G317" s="4" t="s">
        <v>43</v>
      </c>
      <c r="H317" s="4" t="s">
        <v>977</v>
      </c>
      <c r="I317" s="4">
        <v>41158</v>
      </c>
      <c r="J317" s="4" t="s">
        <v>22</v>
      </c>
      <c r="K317" s="4" t="s">
        <v>978</v>
      </c>
      <c r="L317" s="4" t="s">
        <v>39</v>
      </c>
      <c r="M317" s="5" t="str">
        <f>IF([1]Employees!$I317&gt;=90000, "High", "Low")</f>
        <v>Low</v>
      </c>
      <c r="N317" s="6" t="str" cm="1">
        <f t="array" ref="N317">_xlfn.IFS([1]Employees!$I317&gt;=90000, "High", [1]Employees!$I317&gt;=50000, "Medium", [1]Employees!$I317&lt;50000, "Low")</f>
        <v>Low</v>
      </c>
      <c r="O317" s="15" t="str">
        <f>IF([1]Employees!$I317&gt;=90000, "High", IF([1]Employees!$I317&gt;=50000, "Medium", "Low"))</f>
        <v>Low</v>
      </c>
    </row>
    <row r="318" spans="1:15" x14ac:dyDescent="0.3">
      <c r="A318" s="4" t="s">
        <v>979</v>
      </c>
      <c r="B318" s="4" t="s">
        <v>57</v>
      </c>
      <c r="C318" s="4" t="s">
        <v>26</v>
      </c>
      <c r="D318" s="4" t="s">
        <v>27</v>
      </c>
      <c r="E318" s="4">
        <v>31</v>
      </c>
      <c r="F318" s="4" t="s">
        <v>34</v>
      </c>
      <c r="G318" s="4" t="s">
        <v>29</v>
      </c>
      <c r="H318" s="4" t="s">
        <v>980</v>
      </c>
      <c r="I318" s="4">
        <v>57027</v>
      </c>
      <c r="J318" s="4" t="s">
        <v>37</v>
      </c>
      <c r="K318" s="4" t="s">
        <v>981</v>
      </c>
      <c r="L318" s="4" t="s">
        <v>39</v>
      </c>
      <c r="M318" s="5" t="str">
        <f>IF([1]Employees!$I318&gt;=90000, "High", "Low")</f>
        <v>Low</v>
      </c>
      <c r="N318" s="6" t="str" cm="1">
        <f t="array" ref="N318">_xlfn.IFS([1]Employees!$I318&gt;=90000, "High", [1]Employees!$I318&gt;=50000, "Medium", [1]Employees!$I318&lt;50000, "Low")</f>
        <v>Medium</v>
      </c>
      <c r="O318" s="15" t="str">
        <f>IF([1]Employees!$I318&gt;=90000, "High", IF([1]Employees!$I318&gt;=50000, "Medium", "Low"))</f>
        <v>Medium</v>
      </c>
    </row>
    <row r="319" spans="1:15" x14ac:dyDescent="0.3">
      <c r="A319" s="4" t="s">
        <v>982</v>
      </c>
      <c r="B319" s="4" t="s">
        <v>146</v>
      </c>
      <c r="C319" s="4" t="s">
        <v>133</v>
      </c>
      <c r="D319" s="4" t="s">
        <v>18</v>
      </c>
      <c r="E319" s="4">
        <v>24</v>
      </c>
      <c r="F319" s="4" t="s">
        <v>34</v>
      </c>
      <c r="G319" s="4" t="s">
        <v>29</v>
      </c>
      <c r="H319" s="4" t="s">
        <v>983</v>
      </c>
      <c r="I319" s="4">
        <v>56782</v>
      </c>
      <c r="J319" s="4" t="s">
        <v>37</v>
      </c>
      <c r="K319" s="4" t="s">
        <v>984</v>
      </c>
      <c r="L319" s="4" t="s">
        <v>24</v>
      </c>
      <c r="M319" s="5" t="str">
        <f>IF([1]Employees!$I319&gt;=90000, "High", "Low")</f>
        <v>Low</v>
      </c>
      <c r="N319" s="6" t="str" cm="1">
        <f t="array" ref="N319">_xlfn.IFS([1]Employees!$I319&gt;=90000, "High", [1]Employees!$I319&gt;=50000, "Medium", [1]Employees!$I319&lt;50000, "Low")</f>
        <v>Medium</v>
      </c>
      <c r="O319" s="15" t="str">
        <f>IF([1]Employees!$I319&gt;=90000, "High", IF([1]Employees!$I319&gt;=50000, "Medium", "Low"))</f>
        <v>Medium</v>
      </c>
    </row>
    <row r="320" spans="1:15" x14ac:dyDescent="0.3">
      <c r="A320" s="4" t="s">
        <v>985</v>
      </c>
      <c r="B320" s="4" t="s">
        <v>41</v>
      </c>
      <c r="C320" s="4" t="s">
        <v>98</v>
      </c>
      <c r="D320" s="4" t="s">
        <v>18</v>
      </c>
      <c r="E320" s="4">
        <v>53</v>
      </c>
      <c r="F320" s="4" t="s">
        <v>34</v>
      </c>
      <c r="G320" s="4" t="s">
        <v>20</v>
      </c>
      <c r="H320" s="4" t="s">
        <v>986</v>
      </c>
      <c r="I320" s="4">
        <v>50653</v>
      </c>
      <c r="J320" s="4" t="s">
        <v>22</v>
      </c>
      <c r="K320" s="4" t="s">
        <v>987</v>
      </c>
      <c r="L320" s="4" t="s">
        <v>39</v>
      </c>
      <c r="M320" s="5" t="str">
        <f>IF([1]Employees!$I320&gt;=90000, "High", "Low")</f>
        <v>Low</v>
      </c>
      <c r="N320" s="6" t="str" cm="1">
        <f t="array" ref="N320">_xlfn.IFS([1]Employees!$I320&gt;=90000, "High", [1]Employees!$I320&gt;=50000, "Medium", [1]Employees!$I320&lt;50000, "Low")</f>
        <v>Medium</v>
      </c>
      <c r="O320" s="15" t="str">
        <f>IF([1]Employees!$I320&gt;=90000, "High", IF([1]Employees!$I320&gt;=50000, "Medium", "Low"))</f>
        <v>Medium</v>
      </c>
    </row>
    <row r="321" spans="1:15" x14ac:dyDescent="0.3">
      <c r="A321" s="4" t="s">
        <v>988</v>
      </c>
      <c r="B321" s="4" t="s">
        <v>41</v>
      </c>
      <c r="C321" s="4" t="s">
        <v>86</v>
      </c>
      <c r="D321" s="4" t="s">
        <v>18</v>
      </c>
      <c r="E321" s="4">
        <v>37</v>
      </c>
      <c r="F321" s="4" t="s">
        <v>19</v>
      </c>
      <c r="G321" s="4" t="s">
        <v>43</v>
      </c>
      <c r="H321" s="4" t="s">
        <v>478</v>
      </c>
      <c r="I321" s="4">
        <v>104915</v>
      </c>
      <c r="J321" s="4" t="s">
        <v>83</v>
      </c>
      <c r="K321" s="4" t="s">
        <v>989</v>
      </c>
      <c r="L321" s="4" t="s">
        <v>39</v>
      </c>
      <c r="M321" s="5" t="str">
        <f>IF([1]Employees!$I321&gt;=90000, "High", "Low")</f>
        <v>High</v>
      </c>
      <c r="N321" s="6" t="str" cm="1">
        <f t="array" ref="N321">_xlfn.IFS([1]Employees!$I321&gt;=90000, "High", [1]Employees!$I321&gt;=50000, "Medium", [1]Employees!$I321&lt;50000, "Low")</f>
        <v>High</v>
      </c>
      <c r="O321" s="15" t="str">
        <f>IF([1]Employees!$I321&gt;=90000, "High", IF([1]Employees!$I321&gt;=50000, "Medium", "Low"))</f>
        <v>High</v>
      </c>
    </row>
    <row r="322" spans="1:15" x14ac:dyDescent="0.3">
      <c r="A322" s="4" t="s">
        <v>990</v>
      </c>
      <c r="B322" s="4" t="s">
        <v>47</v>
      </c>
      <c r="C322" s="4" t="s">
        <v>98</v>
      </c>
      <c r="D322" s="4" t="s">
        <v>27</v>
      </c>
      <c r="E322" s="4">
        <v>43</v>
      </c>
      <c r="F322" s="4" t="s">
        <v>34</v>
      </c>
      <c r="G322" s="4" t="s">
        <v>43</v>
      </c>
      <c r="H322" s="4" t="s">
        <v>991</v>
      </c>
      <c r="I322" s="4">
        <v>87776</v>
      </c>
      <c r="J322" s="4" t="s">
        <v>83</v>
      </c>
      <c r="K322" s="4" t="s">
        <v>992</v>
      </c>
      <c r="L322" s="4" t="s">
        <v>39</v>
      </c>
      <c r="M322" s="5" t="str">
        <f>IF([1]Employees!$I322&gt;=90000, "High", "Low")</f>
        <v>Low</v>
      </c>
      <c r="N322" s="6" t="str" cm="1">
        <f t="array" ref="N322">_xlfn.IFS([1]Employees!$I322&gt;=90000, "High", [1]Employees!$I322&gt;=50000, "Medium", [1]Employees!$I322&lt;50000, "Low")</f>
        <v>Medium</v>
      </c>
      <c r="O322" s="15" t="str">
        <f>IF([1]Employees!$I322&gt;=90000, "High", IF([1]Employees!$I322&gt;=50000, "Medium", "Low"))</f>
        <v>Medium</v>
      </c>
    </row>
    <row r="323" spans="1:15" x14ac:dyDescent="0.3">
      <c r="A323" s="4" t="s">
        <v>993</v>
      </c>
      <c r="B323" s="4" t="s">
        <v>61</v>
      </c>
      <c r="C323" s="4" t="s">
        <v>133</v>
      </c>
      <c r="D323" s="4" t="s">
        <v>18</v>
      </c>
      <c r="E323" s="4">
        <v>49</v>
      </c>
      <c r="F323" s="4" t="s">
        <v>42</v>
      </c>
      <c r="G323" s="4" t="s">
        <v>35</v>
      </c>
      <c r="H323" s="4" t="s">
        <v>994</v>
      </c>
      <c r="I323" s="4">
        <v>52338</v>
      </c>
      <c r="J323" s="4" t="s">
        <v>63</v>
      </c>
      <c r="K323" s="4" t="s">
        <v>995</v>
      </c>
      <c r="L323" s="4" t="s">
        <v>39</v>
      </c>
      <c r="M323" s="5" t="str">
        <f>IF([1]Employees!$I323&gt;=90000, "High", "Low")</f>
        <v>Low</v>
      </c>
      <c r="N323" s="6" t="str" cm="1">
        <f t="array" ref="N323">_xlfn.IFS([1]Employees!$I323&gt;=90000, "High", [1]Employees!$I323&gt;=50000, "Medium", [1]Employees!$I323&lt;50000, "Low")</f>
        <v>Medium</v>
      </c>
      <c r="O323" s="15" t="str">
        <f>IF([1]Employees!$I323&gt;=90000, "High", IF([1]Employees!$I323&gt;=50000, "Medium", "Low"))</f>
        <v>Medium</v>
      </c>
    </row>
    <row r="324" spans="1:15" x14ac:dyDescent="0.3">
      <c r="A324" s="4" t="s">
        <v>996</v>
      </c>
      <c r="B324" s="4" t="s">
        <v>33</v>
      </c>
      <c r="C324" s="4" t="s">
        <v>48</v>
      </c>
      <c r="D324" s="4" t="s">
        <v>18</v>
      </c>
      <c r="E324" s="4">
        <v>53</v>
      </c>
      <c r="F324" s="4" t="s">
        <v>42</v>
      </c>
      <c r="G324" s="4" t="s">
        <v>35</v>
      </c>
      <c r="H324" s="4" t="s">
        <v>997</v>
      </c>
      <c r="I324" s="4">
        <v>45630</v>
      </c>
      <c r="J324" s="4" t="s">
        <v>68</v>
      </c>
      <c r="K324" s="4" t="s">
        <v>998</v>
      </c>
      <c r="L324" s="4" t="s">
        <v>39</v>
      </c>
      <c r="M324" s="5" t="str">
        <f>IF([1]Employees!$I324&gt;=90000, "High", "Low")</f>
        <v>Low</v>
      </c>
      <c r="N324" s="6" t="str" cm="1">
        <f t="array" ref="N324">_xlfn.IFS([1]Employees!$I324&gt;=90000, "High", [1]Employees!$I324&gt;=50000, "Medium", [1]Employees!$I324&lt;50000, "Low")</f>
        <v>Low</v>
      </c>
      <c r="O324" s="15" t="str">
        <f>IF([1]Employees!$I324&gt;=90000, "High", IF([1]Employees!$I324&gt;=50000, "Medium", "Low"))</f>
        <v>Low</v>
      </c>
    </row>
    <row r="325" spans="1:15" x14ac:dyDescent="0.3">
      <c r="A325" s="4" t="s">
        <v>999</v>
      </c>
      <c r="B325" s="4" t="s">
        <v>41</v>
      </c>
      <c r="C325" s="4" t="s">
        <v>48</v>
      </c>
      <c r="D325" s="4" t="s">
        <v>27</v>
      </c>
      <c r="E325" s="4">
        <v>44</v>
      </c>
      <c r="F325" s="4" t="s">
        <v>42</v>
      </c>
      <c r="G325" s="4" t="s">
        <v>35</v>
      </c>
      <c r="H325" s="4" t="s">
        <v>1000</v>
      </c>
      <c r="I325" s="4">
        <v>80403</v>
      </c>
      <c r="J325" s="4" t="s">
        <v>63</v>
      </c>
      <c r="K325" s="4" t="s">
        <v>1001</v>
      </c>
      <c r="L325" s="4" t="s">
        <v>24</v>
      </c>
      <c r="M325" s="5" t="str">
        <f>IF([1]Employees!$I325&gt;=90000, "High", "Low")</f>
        <v>Low</v>
      </c>
      <c r="N325" s="6" t="str" cm="1">
        <f t="array" ref="N325">_xlfn.IFS([1]Employees!$I325&gt;=90000, "High", [1]Employees!$I325&gt;=50000, "Medium", [1]Employees!$I325&lt;50000, "Low")</f>
        <v>Medium</v>
      </c>
      <c r="O325" s="15" t="str">
        <f>IF([1]Employees!$I325&gt;=90000, "High", IF([1]Employees!$I325&gt;=50000, "Medium", "Low"))</f>
        <v>Medium</v>
      </c>
    </row>
    <row r="326" spans="1:15" x14ac:dyDescent="0.3">
      <c r="A326" s="4" t="s">
        <v>1002</v>
      </c>
      <c r="B326" s="4" t="s">
        <v>47</v>
      </c>
      <c r="C326" s="4" t="s">
        <v>48</v>
      </c>
      <c r="D326" s="4" t="s">
        <v>27</v>
      </c>
      <c r="E326" s="4">
        <v>51</v>
      </c>
      <c r="F326" s="4" t="s">
        <v>42</v>
      </c>
      <c r="G326" s="4" t="s">
        <v>29</v>
      </c>
      <c r="H326" s="4" t="s">
        <v>1003</v>
      </c>
      <c r="I326" s="4">
        <v>82902</v>
      </c>
      <c r="J326" s="4" t="s">
        <v>83</v>
      </c>
      <c r="K326" s="4" t="s">
        <v>1004</v>
      </c>
      <c r="L326" s="4" t="s">
        <v>39</v>
      </c>
      <c r="M326" s="5" t="str">
        <f>IF([1]Employees!$I326&gt;=90000, "High", "Low")</f>
        <v>Low</v>
      </c>
      <c r="N326" s="6" t="str" cm="1">
        <f t="array" ref="N326">_xlfn.IFS([1]Employees!$I326&gt;=90000, "High", [1]Employees!$I326&gt;=50000, "Medium", [1]Employees!$I326&lt;50000, "Low")</f>
        <v>Medium</v>
      </c>
      <c r="O326" s="15" t="str">
        <f>IF([1]Employees!$I326&gt;=90000, "High", IF([1]Employees!$I326&gt;=50000, "Medium", "Low"))</f>
        <v>Medium</v>
      </c>
    </row>
    <row r="327" spans="1:15" x14ac:dyDescent="0.3">
      <c r="A327" s="4" t="s">
        <v>1005</v>
      </c>
      <c r="B327" s="4" t="s">
        <v>16</v>
      </c>
      <c r="C327" s="4" t="s">
        <v>168</v>
      </c>
      <c r="D327" s="4" t="s">
        <v>27</v>
      </c>
      <c r="E327" s="4">
        <v>46</v>
      </c>
      <c r="F327" s="4" t="s">
        <v>42</v>
      </c>
      <c r="G327" s="4" t="s">
        <v>111</v>
      </c>
      <c r="H327" s="4" t="s">
        <v>1006</v>
      </c>
      <c r="I327" s="4">
        <v>89841</v>
      </c>
      <c r="J327" s="4" t="s">
        <v>83</v>
      </c>
      <c r="K327" s="4" t="s">
        <v>1007</v>
      </c>
      <c r="L327" s="4" t="s">
        <v>24</v>
      </c>
      <c r="M327" s="5" t="str">
        <f>IF([1]Employees!$I327&gt;=90000, "High", "Low")</f>
        <v>Low</v>
      </c>
      <c r="N327" s="6" t="str" cm="1">
        <f t="array" ref="N327">_xlfn.IFS([1]Employees!$I327&gt;=90000, "High", [1]Employees!$I327&gt;=50000, "Medium", [1]Employees!$I327&lt;50000, "Low")</f>
        <v>Medium</v>
      </c>
      <c r="O327" s="15" t="str">
        <f>IF([1]Employees!$I327&gt;=90000, "High", IF([1]Employees!$I327&gt;=50000, "Medium", "Low"))</f>
        <v>Medium</v>
      </c>
    </row>
    <row r="328" spans="1:15" x14ac:dyDescent="0.3">
      <c r="A328" s="4" t="s">
        <v>1008</v>
      </c>
      <c r="B328" s="4" t="s">
        <v>57</v>
      </c>
      <c r="C328" s="4" t="s">
        <v>93</v>
      </c>
      <c r="D328" s="4" t="s">
        <v>27</v>
      </c>
      <c r="E328" s="4">
        <v>36</v>
      </c>
      <c r="F328" s="4" t="s">
        <v>28</v>
      </c>
      <c r="G328" s="4" t="s">
        <v>29</v>
      </c>
      <c r="H328" s="4" t="s">
        <v>1009</v>
      </c>
      <c r="I328" s="4">
        <v>112396</v>
      </c>
      <c r="J328" s="4" t="s">
        <v>63</v>
      </c>
      <c r="K328" s="4" t="s">
        <v>1010</v>
      </c>
      <c r="L328" s="4" t="s">
        <v>24</v>
      </c>
      <c r="M328" s="5" t="str">
        <f>IF([1]Employees!$I328&gt;=90000, "High", "Low")</f>
        <v>High</v>
      </c>
      <c r="N328" s="6" t="str" cm="1">
        <f t="array" ref="N328">_xlfn.IFS([1]Employees!$I328&gt;=90000, "High", [1]Employees!$I328&gt;=50000, "Medium", [1]Employees!$I328&lt;50000, "Low")</f>
        <v>High</v>
      </c>
      <c r="O328" s="15" t="str">
        <f>IF([1]Employees!$I328&gt;=90000, "High", IF([1]Employees!$I328&gt;=50000, "Medium", "Low"))</f>
        <v>High</v>
      </c>
    </row>
    <row r="329" spans="1:15" x14ac:dyDescent="0.3">
      <c r="A329" s="4" t="s">
        <v>1011</v>
      </c>
      <c r="B329" s="4" t="s">
        <v>57</v>
      </c>
      <c r="C329" s="4" t="s">
        <v>26</v>
      </c>
      <c r="D329" s="4" t="s">
        <v>27</v>
      </c>
      <c r="E329" s="4">
        <v>39</v>
      </c>
      <c r="F329" s="4" t="s">
        <v>19</v>
      </c>
      <c r="G329" s="4" t="s">
        <v>111</v>
      </c>
      <c r="H329" s="4" t="s">
        <v>1012</v>
      </c>
      <c r="I329" s="4">
        <v>91433</v>
      </c>
      <c r="J329" s="4" t="s">
        <v>83</v>
      </c>
      <c r="K329" s="4" t="s">
        <v>1013</v>
      </c>
      <c r="L329" s="4" t="s">
        <v>39</v>
      </c>
      <c r="M329" s="5" t="str">
        <f>IF([1]Employees!$I329&gt;=90000, "High", "Low")</f>
        <v>High</v>
      </c>
      <c r="N329" s="6" t="str" cm="1">
        <f t="array" ref="N329">_xlfn.IFS([1]Employees!$I329&gt;=90000, "High", [1]Employees!$I329&gt;=50000, "Medium", [1]Employees!$I329&lt;50000, "Low")</f>
        <v>High</v>
      </c>
      <c r="O329" s="15" t="str">
        <f>IF([1]Employees!$I329&gt;=90000, "High", IF([1]Employees!$I329&gt;=50000, "Medium", "Low"))</f>
        <v>High</v>
      </c>
    </row>
    <row r="330" spans="1:15" x14ac:dyDescent="0.3">
      <c r="A330" s="4" t="s">
        <v>1014</v>
      </c>
      <c r="B330" s="4" t="s">
        <v>52</v>
      </c>
      <c r="C330" s="4" t="s">
        <v>98</v>
      </c>
      <c r="D330" s="4" t="s">
        <v>18</v>
      </c>
      <c r="E330" s="4">
        <v>58</v>
      </c>
      <c r="F330" s="4" t="s">
        <v>42</v>
      </c>
      <c r="G330" s="4" t="s">
        <v>35</v>
      </c>
      <c r="H330" s="4" t="s">
        <v>1015</v>
      </c>
      <c r="I330" s="4">
        <v>75628</v>
      </c>
      <c r="J330" s="4" t="s">
        <v>63</v>
      </c>
      <c r="K330" s="4" t="s">
        <v>1016</v>
      </c>
      <c r="L330" s="4" t="s">
        <v>24</v>
      </c>
      <c r="M330" s="5" t="str">
        <f>IF([1]Employees!$I330&gt;=90000, "High", "Low")</f>
        <v>Low</v>
      </c>
      <c r="N330" s="6" t="str" cm="1">
        <f t="array" ref="N330">_xlfn.IFS([1]Employees!$I330&gt;=90000, "High", [1]Employees!$I330&gt;=50000, "Medium", [1]Employees!$I330&lt;50000, "Low")</f>
        <v>Medium</v>
      </c>
      <c r="O330" s="15" t="str">
        <f>IF([1]Employees!$I330&gt;=90000, "High", IF([1]Employees!$I330&gt;=50000, "Medium", "Low"))</f>
        <v>Medium</v>
      </c>
    </row>
    <row r="331" spans="1:15" x14ac:dyDescent="0.3">
      <c r="A331" s="4" t="s">
        <v>1017</v>
      </c>
      <c r="B331" s="4" t="s">
        <v>16</v>
      </c>
      <c r="C331" s="4" t="s">
        <v>48</v>
      </c>
      <c r="D331" s="4" t="s">
        <v>18</v>
      </c>
      <c r="E331" s="4">
        <v>56</v>
      </c>
      <c r="F331" s="4" t="s">
        <v>53</v>
      </c>
      <c r="G331" s="4" t="s">
        <v>20</v>
      </c>
      <c r="H331" s="4" t="s">
        <v>1018</v>
      </c>
      <c r="I331" s="4">
        <v>68036</v>
      </c>
      <c r="J331" s="4" t="s">
        <v>83</v>
      </c>
      <c r="K331" s="4" t="s">
        <v>1019</v>
      </c>
      <c r="L331" s="4" t="s">
        <v>39</v>
      </c>
      <c r="M331" s="5" t="str">
        <f>IF([1]Employees!$I331&gt;=90000, "High", "Low")</f>
        <v>Low</v>
      </c>
      <c r="N331" s="6" t="str" cm="1">
        <f t="array" ref="N331">_xlfn.IFS([1]Employees!$I331&gt;=90000, "High", [1]Employees!$I331&gt;=50000, "Medium", [1]Employees!$I331&lt;50000, "Low")</f>
        <v>Medium</v>
      </c>
      <c r="O331" s="15" t="str">
        <f>IF([1]Employees!$I331&gt;=90000, "High", IF([1]Employees!$I331&gt;=50000, "Medium", "Low"))</f>
        <v>Medium</v>
      </c>
    </row>
    <row r="332" spans="1:15" x14ac:dyDescent="0.3">
      <c r="A332" s="4" t="s">
        <v>1020</v>
      </c>
      <c r="B332" s="4" t="s">
        <v>97</v>
      </c>
      <c r="C332" s="4" t="s">
        <v>81</v>
      </c>
      <c r="D332" s="4" t="s">
        <v>27</v>
      </c>
      <c r="E332" s="4">
        <v>50</v>
      </c>
      <c r="F332" s="4" t="s">
        <v>19</v>
      </c>
      <c r="G332" s="4" t="s">
        <v>111</v>
      </c>
      <c r="H332" s="4" t="s">
        <v>1021</v>
      </c>
      <c r="I332" s="4">
        <v>61746</v>
      </c>
      <c r="J332" s="4" t="s">
        <v>68</v>
      </c>
      <c r="K332" s="4" t="s">
        <v>1022</v>
      </c>
      <c r="L332" s="4" t="s">
        <v>39</v>
      </c>
      <c r="M332" s="5" t="str">
        <f>IF([1]Employees!$I332&gt;=90000, "High", "Low")</f>
        <v>Low</v>
      </c>
      <c r="N332" s="6" t="str" cm="1">
        <f t="array" ref="N332">_xlfn.IFS([1]Employees!$I332&gt;=90000, "High", [1]Employees!$I332&gt;=50000, "Medium", [1]Employees!$I332&lt;50000, "Low")</f>
        <v>Medium</v>
      </c>
      <c r="O332" s="15" t="str">
        <f>IF([1]Employees!$I332&gt;=90000, "High", IF([1]Employees!$I332&gt;=50000, "Medium", "Low"))</f>
        <v>Medium</v>
      </c>
    </row>
    <row r="333" spans="1:15" x14ac:dyDescent="0.3">
      <c r="A333" s="4" t="s">
        <v>1023</v>
      </c>
      <c r="B333" s="4" t="s">
        <v>146</v>
      </c>
      <c r="C333" s="4" t="s">
        <v>66</v>
      </c>
      <c r="D333" s="4" t="s">
        <v>18</v>
      </c>
      <c r="E333" s="4">
        <v>26</v>
      </c>
      <c r="F333" s="4" t="s">
        <v>19</v>
      </c>
      <c r="G333" s="4" t="s">
        <v>111</v>
      </c>
      <c r="H333" s="4" t="s">
        <v>513</v>
      </c>
      <c r="I333" s="4">
        <v>47221</v>
      </c>
      <c r="J333" s="4" t="s">
        <v>63</v>
      </c>
      <c r="K333" s="4" t="s">
        <v>1024</v>
      </c>
      <c r="L333" s="4" t="s">
        <v>39</v>
      </c>
      <c r="M333" s="5" t="str">
        <f>IF([1]Employees!$I333&gt;=90000, "High", "Low")</f>
        <v>Low</v>
      </c>
      <c r="N333" s="6" t="str" cm="1">
        <f t="array" ref="N333">_xlfn.IFS([1]Employees!$I333&gt;=90000, "High", [1]Employees!$I333&gt;=50000, "Medium", [1]Employees!$I333&lt;50000, "Low")</f>
        <v>Low</v>
      </c>
      <c r="O333" s="15" t="str">
        <f>IF([1]Employees!$I333&gt;=90000, "High", IF([1]Employees!$I333&gt;=50000, "Medium", "Low"))</f>
        <v>Low</v>
      </c>
    </row>
    <row r="334" spans="1:15" x14ac:dyDescent="0.3">
      <c r="A334" s="4" t="s">
        <v>1025</v>
      </c>
      <c r="B334" s="4" t="s">
        <v>74</v>
      </c>
      <c r="C334" s="4" t="s">
        <v>168</v>
      </c>
      <c r="D334" s="4" t="s">
        <v>18</v>
      </c>
      <c r="E334" s="4">
        <v>32</v>
      </c>
      <c r="F334" s="4" t="s">
        <v>34</v>
      </c>
      <c r="G334" s="4" t="s">
        <v>111</v>
      </c>
      <c r="H334" s="4" t="s">
        <v>1026</v>
      </c>
      <c r="I334" s="4">
        <v>75595</v>
      </c>
      <c r="J334" s="4" t="s">
        <v>22</v>
      </c>
      <c r="K334" s="4" t="s">
        <v>1027</v>
      </c>
      <c r="L334" s="4" t="s">
        <v>24</v>
      </c>
      <c r="M334" s="5" t="str">
        <f>IF([1]Employees!$I334&gt;=90000, "High", "Low")</f>
        <v>Low</v>
      </c>
      <c r="N334" s="6" t="str" cm="1">
        <f t="array" ref="N334">_xlfn.IFS([1]Employees!$I334&gt;=90000, "High", [1]Employees!$I334&gt;=50000, "Medium", [1]Employees!$I334&lt;50000, "Low")</f>
        <v>Medium</v>
      </c>
      <c r="O334" s="15" t="str">
        <f>IF([1]Employees!$I334&gt;=90000, "High", IF([1]Employees!$I334&gt;=50000, "Medium", "Low"))</f>
        <v>Medium</v>
      </c>
    </row>
    <row r="335" spans="1:15" x14ac:dyDescent="0.3">
      <c r="A335" s="4" t="s">
        <v>1028</v>
      </c>
      <c r="B335" s="4" t="s">
        <v>41</v>
      </c>
      <c r="C335" s="4" t="s">
        <v>86</v>
      </c>
      <c r="D335" s="4" t="s">
        <v>18</v>
      </c>
      <c r="E335" s="4">
        <v>46</v>
      </c>
      <c r="F335" s="4" t="s">
        <v>53</v>
      </c>
      <c r="G335" s="4" t="s">
        <v>20</v>
      </c>
      <c r="H335" s="4" t="s">
        <v>1029</v>
      </c>
      <c r="I335" s="4">
        <v>104179</v>
      </c>
      <c r="J335" s="4" t="s">
        <v>37</v>
      </c>
      <c r="K335" s="4" t="s">
        <v>1030</v>
      </c>
      <c r="L335" s="4" t="s">
        <v>39</v>
      </c>
      <c r="M335" s="5" t="str">
        <f>IF([1]Employees!$I335&gt;=90000, "High", "Low")</f>
        <v>High</v>
      </c>
      <c r="N335" s="6" t="str" cm="1">
        <f t="array" ref="N335">_xlfn.IFS([1]Employees!$I335&gt;=90000, "High", [1]Employees!$I335&gt;=50000, "Medium", [1]Employees!$I335&lt;50000, "Low")</f>
        <v>High</v>
      </c>
      <c r="O335" s="15" t="str">
        <f>IF([1]Employees!$I335&gt;=90000, "High", IF([1]Employees!$I335&gt;=50000, "Medium", "Low"))</f>
        <v>High</v>
      </c>
    </row>
    <row r="336" spans="1:15" x14ac:dyDescent="0.3">
      <c r="A336" s="4" t="s">
        <v>1031</v>
      </c>
      <c r="B336" s="4" t="s">
        <v>47</v>
      </c>
      <c r="C336" s="4" t="s">
        <v>133</v>
      </c>
      <c r="D336" s="4" t="s">
        <v>18</v>
      </c>
      <c r="E336" s="4">
        <v>37</v>
      </c>
      <c r="F336" s="4" t="s">
        <v>19</v>
      </c>
      <c r="G336" s="4" t="s">
        <v>111</v>
      </c>
      <c r="H336" s="4" t="s">
        <v>1032</v>
      </c>
      <c r="I336" s="4">
        <v>46212</v>
      </c>
      <c r="J336" s="4" t="s">
        <v>22</v>
      </c>
      <c r="K336" s="4" t="s">
        <v>1033</v>
      </c>
      <c r="L336" s="4" t="s">
        <v>24</v>
      </c>
      <c r="M336" s="5" t="str">
        <f>IF([1]Employees!$I336&gt;=90000, "High", "Low")</f>
        <v>Low</v>
      </c>
      <c r="N336" s="6" t="str" cm="1">
        <f t="array" ref="N336">_xlfn.IFS([1]Employees!$I336&gt;=90000, "High", [1]Employees!$I336&gt;=50000, "Medium", [1]Employees!$I336&lt;50000, "Low")</f>
        <v>Low</v>
      </c>
      <c r="O336" s="15" t="str">
        <f>IF([1]Employees!$I336&gt;=90000, "High", IF([1]Employees!$I336&gt;=50000, "Medium", "Low"))</f>
        <v>Low</v>
      </c>
    </row>
    <row r="337" spans="1:15" x14ac:dyDescent="0.3">
      <c r="A337" s="4" t="s">
        <v>1034</v>
      </c>
      <c r="B337" s="4" t="s">
        <v>61</v>
      </c>
      <c r="C337" s="4" t="s">
        <v>93</v>
      </c>
      <c r="D337" s="4" t="s">
        <v>27</v>
      </c>
      <c r="E337" s="4">
        <v>47</v>
      </c>
      <c r="F337" s="4" t="s">
        <v>42</v>
      </c>
      <c r="G337" s="4" t="s">
        <v>43</v>
      </c>
      <c r="H337" s="4" t="s">
        <v>1035</v>
      </c>
      <c r="I337" s="4">
        <v>39091</v>
      </c>
      <c r="J337" s="4" t="s">
        <v>83</v>
      </c>
      <c r="K337" s="4" t="s">
        <v>1036</v>
      </c>
      <c r="L337" s="4" t="s">
        <v>24</v>
      </c>
      <c r="M337" s="5" t="str">
        <f>IF([1]Employees!$I337&gt;=90000, "High", "Low")</f>
        <v>Low</v>
      </c>
      <c r="N337" s="6" t="str" cm="1">
        <f t="array" ref="N337">_xlfn.IFS([1]Employees!$I337&gt;=90000, "High", [1]Employees!$I337&gt;=50000, "Medium", [1]Employees!$I337&lt;50000, "Low")</f>
        <v>Low</v>
      </c>
      <c r="O337" s="15" t="str">
        <f>IF([1]Employees!$I337&gt;=90000, "High", IF([1]Employees!$I337&gt;=50000, "Medium", "Low"))</f>
        <v>Low</v>
      </c>
    </row>
    <row r="338" spans="1:15" x14ac:dyDescent="0.3">
      <c r="A338" s="4" t="s">
        <v>1037</v>
      </c>
      <c r="B338" s="4" t="s">
        <v>33</v>
      </c>
      <c r="C338" s="4" t="s">
        <v>86</v>
      </c>
      <c r="D338" s="4" t="s">
        <v>27</v>
      </c>
      <c r="E338" s="4">
        <v>43</v>
      </c>
      <c r="F338" s="4" t="s">
        <v>34</v>
      </c>
      <c r="G338" s="4" t="s">
        <v>43</v>
      </c>
      <c r="H338" s="4" t="s">
        <v>1038</v>
      </c>
      <c r="I338" s="4">
        <v>73436</v>
      </c>
      <c r="J338" s="4" t="s">
        <v>63</v>
      </c>
      <c r="K338" s="4" t="s">
        <v>1039</v>
      </c>
      <c r="L338" s="4" t="s">
        <v>39</v>
      </c>
      <c r="M338" s="5" t="str">
        <f>IF([1]Employees!$I338&gt;=90000, "High", "Low")</f>
        <v>Low</v>
      </c>
      <c r="N338" s="6" t="str" cm="1">
        <f t="array" ref="N338">_xlfn.IFS([1]Employees!$I338&gt;=90000, "High", [1]Employees!$I338&gt;=50000, "Medium", [1]Employees!$I338&lt;50000, "Low")</f>
        <v>Medium</v>
      </c>
      <c r="O338" s="15" t="str">
        <f>IF([1]Employees!$I338&gt;=90000, "High", IF([1]Employees!$I338&gt;=50000, "Medium", "Low"))</f>
        <v>Medium</v>
      </c>
    </row>
    <row r="339" spans="1:15" x14ac:dyDescent="0.3">
      <c r="A339" s="4" t="s">
        <v>1040</v>
      </c>
      <c r="B339" s="4" t="s">
        <v>146</v>
      </c>
      <c r="C339" s="4" t="s">
        <v>81</v>
      </c>
      <c r="D339" s="4" t="s">
        <v>18</v>
      </c>
      <c r="E339" s="4">
        <v>57</v>
      </c>
      <c r="F339" s="4" t="s">
        <v>28</v>
      </c>
      <c r="G339" s="4" t="s">
        <v>43</v>
      </c>
      <c r="H339" s="4" t="s">
        <v>1041</v>
      </c>
      <c r="I339" s="4">
        <v>62199</v>
      </c>
      <c r="J339" s="4" t="s">
        <v>63</v>
      </c>
      <c r="K339" s="4" t="s">
        <v>1042</v>
      </c>
      <c r="L339" s="4" t="s">
        <v>24</v>
      </c>
      <c r="M339" s="5" t="str">
        <f>IF([1]Employees!$I339&gt;=90000, "High", "Low")</f>
        <v>Low</v>
      </c>
      <c r="N339" s="6" t="str" cm="1">
        <f t="array" ref="N339">_xlfn.IFS([1]Employees!$I339&gt;=90000, "High", [1]Employees!$I339&gt;=50000, "Medium", [1]Employees!$I339&lt;50000, "Low")</f>
        <v>Medium</v>
      </c>
      <c r="O339" s="15" t="str">
        <f>IF([1]Employees!$I339&gt;=90000, "High", IF([1]Employees!$I339&gt;=50000, "Medium", "Low"))</f>
        <v>Medium</v>
      </c>
    </row>
    <row r="340" spans="1:15" x14ac:dyDescent="0.3">
      <c r="A340" s="4" t="s">
        <v>1043</v>
      </c>
      <c r="B340" s="4" t="s">
        <v>57</v>
      </c>
      <c r="C340" s="4" t="s">
        <v>98</v>
      </c>
      <c r="D340" s="4" t="s">
        <v>27</v>
      </c>
      <c r="E340" s="4">
        <v>41</v>
      </c>
      <c r="F340" s="4" t="s">
        <v>53</v>
      </c>
      <c r="G340" s="4" t="s">
        <v>29</v>
      </c>
      <c r="H340" s="4" t="s">
        <v>1044</v>
      </c>
      <c r="I340" s="4">
        <v>53338</v>
      </c>
      <c r="J340" s="4" t="s">
        <v>37</v>
      </c>
      <c r="K340" s="4" t="s">
        <v>1045</v>
      </c>
      <c r="L340" s="4" t="s">
        <v>24</v>
      </c>
      <c r="M340" s="5" t="str">
        <f>IF([1]Employees!$I340&gt;=90000, "High", "Low")</f>
        <v>Low</v>
      </c>
      <c r="N340" s="6" t="str" cm="1">
        <f t="array" ref="N340">_xlfn.IFS([1]Employees!$I340&gt;=90000, "High", [1]Employees!$I340&gt;=50000, "Medium", [1]Employees!$I340&lt;50000, "Low")</f>
        <v>Medium</v>
      </c>
      <c r="O340" s="15" t="str">
        <f>IF([1]Employees!$I340&gt;=90000, "High", IF([1]Employees!$I340&gt;=50000, "Medium", "Low"))</f>
        <v>Medium</v>
      </c>
    </row>
    <row r="341" spans="1:15" x14ac:dyDescent="0.3">
      <c r="A341" s="4" t="s">
        <v>1046</v>
      </c>
      <c r="B341" s="4" t="s">
        <v>97</v>
      </c>
      <c r="C341" s="4" t="s">
        <v>48</v>
      </c>
      <c r="D341" s="4" t="s">
        <v>18</v>
      </c>
      <c r="E341" s="4">
        <v>38</v>
      </c>
      <c r="F341" s="4" t="s">
        <v>28</v>
      </c>
      <c r="G341" s="4" t="s">
        <v>111</v>
      </c>
      <c r="H341" s="4" t="s">
        <v>1047</v>
      </c>
      <c r="I341" s="4">
        <v>64542</v>
      </c>
      <c r="J341" s="4" t="s">
        <v>68</v>
      </c>
      <c r="K341" s="4" t="s">
        <v>1048</v>
      </c>
      <c r="L341" s="4" t="s">
        <v>24</v>
      </c>
      <c r="M341" s="5" t="str">
        <f>IF([1]Employees!$I341&gt;=90000, "High", "Low")</f>
        <v>Low</v>
      </c>
      <c r="N341" s="6" t="str" cm="1">
        <f t="array" ref="N341">_xlfn.IFS([1]Employees!$I341&gt;=90000, "High", [1]Employees!$I341&gt;=50000, "Medium", [1]Employees!$I341&lt;50000, "Low")</f>
        <v>Medium</v>
      </c>
      <c r="O341" s="15" t="str">
        <f>IF([1]Employees!$I341&gt;=90000, "High", IF([1]Employees!$I341&gt;=50000, "Medium", "Low"))</f>
        <v>Medium</v>
      </c>
    </row>
    <row r="342" spans="1:15" x14ac:dyDescent="0.3">
      <c r="A342" s="4" t="s">
        <v>1049</v>
      </c>
      <c r="B342" s="4" t="s">
        <v>61</v>
      </c>
      <c r="C342" s="4" t="s">
        <v>133</v>
      </c>
      <c r="D342" s="4" t="s">
        <v>18</v>
      </c>
      <c r="E342" s="4">
        <v>59</v>
      </c>
      <c r="F342" s="4" t="s">
        <v>34</v>
      </c>
      <c r="G342" s="4" t="s">
        <v>111</v>
      </c>
      <c r="H342" s="4" t="s">
        <v>1050</v>
      </c>
      <c r="I342" s="4">
        <v>38117</v>
      </c>
      <c r="J342" s="4" t="s">
        <v>37</v>
      </c>
      <c r="K342" s="4" t="s">
        <v>1051</v>
      </c>
      <c r="L342" s="4" t="s">
        <v>24</v>
      </c>
      <c r="M342" s="5" t="str">
        <f>IF([1]Employees!$I342&gt;=90000, "High", "Low")</f>
        <v>Low</v>
      </c>
      <c r="N342" s="6" t="str" cm="1">
        <f t="array" ref="N342">_xlfn.IFS([1]Employees!$I342&gt;=90000, "High", [1]Employees!$I342&gt;=50000, "Medium", [1]Employees!$I342&lt;50000, "Low")</f>
        <v>Low</v>
      </c>
      <c r="O342" s="15" t="str">
        <f>IF([1]Employees!$I342&gt;=90000, "High", IF([1]Employees!$I342&gt;=50000, "Medium", "Low"))</f>
        <v>Low</v>
      </c>
    </row>
    <row r="343" spans="1:15" x14ac:dyDescent="0.3">
      <c r="A343" s="4" t="s">
        <v>1052</v>
      </c>
      <c r="B343" s="4" t="s">
        <v>33</v>
      </c>
      <c r="C343" s="4" t="s">
        <v>86</v>
      </c>
      <c r="D343" s="4" t="s">
        <v>27</v>
      </c>
      <c r="E343" s="4">
        <v>25</v>
      </c>
      <c r="F343" s="4" t="s">
        <v>19</v>
      </c>
      <c r="G343" s="4" t="s">
        <v>111</v>
      </c>
      <c r="H343" s="4" t="s">
        <v>1053</v>
      </c>
      <c r="I343" s="4">
        <v>101879</v>
      </c>
      <c r="J343" s="4" t="s">
        <v>22</v>
      </c>
      <c r="K343" s="4" t="s">
        <v>1054</v>
      </c>
      <c r="L343" s="4" t="s">
        <v>24</v>
      </c>
      <c r="M343" s="5" t="str">
        <f>IF([1]Employees!$I343&gt;=90000, "High", "Low")</f>
        <v>High</v>
      </c>
      <c r="N343" s="6" t="str" cm="1">
        <f t="array" ref="N343">_xlfn.IFS([1]Employees!$I343&gt;=90000, "High", [1]Employees!$I343&gt;=50000, "Medium", [1]Employees!$I343&lt;50000, "Low")</f>
        <v>High</v>
      </c>
      <c r="O343" s="15" t="str">
        <f>IF([1]Employees!$I343&gt;=90000, "High", IF([1]Employees!$I343&gt;=50000, "Medium", "Low"))</f>
        <v>High</v>
      </c>
    </row>
    <row r="344" spans="1:15" x14ac:dyDescent="0.3">
      <c r="A344" s="4" t="s">
        <v>1055</v>
      </c>
      <c r="B344" s="4" t="s">
        <v>74</v>
      </c>
      <c r="C344" s="4" t="s">
        <v>26</v>
      </c>
      <c r="D344" s="4" t="s">
        <v>27</v>
      </c>
      <c r="E344" s="4">
        <v>43</v>
      </c>
      <c r="F344" s="4" t="s">
        <v>28</v>
      </c>
      <c r="G344" s="4" t="s">
        <v>111</v>
      </c>
      <c r="H344" s="4" t="s">
        <v>1056</v>
      </c>
      <c r="I344" s="4">
        <v>78777</v>
      </c>
      <c r="J344" s="4" t="s">
        <v>68</v>
      </c>
      <c r="K344" s="4" t="s">
        <v>1057</v>
      </c>
      <c r="L344" s="4" t="s">
        <v>24</v>
      </c>
      <c r="M344" s="5" t="str">
        <f>IF([1]Employees!$I344&gt;=90000, "High", "Low")</f>
        <v>Low</v>
      </c>
      <c r="N344" s="6" t="str" cm="1">
        <f t="array" ref="N344">_xlfn.IFS([1]Employees!$I344&gt;=90000, "High", [1]Employees!$I344&gt;=50000, "Medium", [1]Employees!$I344&lt;50000, "Low")</f>
        <v>Medium</v>
      </c>
      <c r="O344" s="15" t="str">
        <f>IF([1]Employees!$I344&gt;=90000, "High", IF([1]Employees!$I344&gt;=50000, "Medium", "Low"))</f>
        <v>Medium</v>
      </c>
    </row>
    <row r="345" spans="1:15" x14ac:dyDescent="0.3">
      <c r="A345" s="4" t="s">
        <v>1058</v>
      </c>
      <c r="B345" s="4" t="s">
        <v>33</v>
      </c>
      <c r="C345" s="4" t="s">
        <v>98</v>
      </c>
      <c r="D345" s="4" t="s">
        <v>18</v>
      </c>
      <c r="E345" s="4">
        <v>33</v>
      </c>
      <c r="F345" s="4" t="s">
        <v>19</v>
      </c>
      <c r="G345" s="4" t="s">
        <v>111</v>
      </c>
      <c r="H345" s="4" t="s">
        <v>1059</v>
      </c>
      <c r="I345" s="4">
        <v>43206</v>
      </c>
      <c r="J345" s="4" t="s">
        <v>68</v>
      </c>
      <c r="K345" s="4" t="s">
        <v>1060</v>
      </c>
      <c r="L345" s="4" t="s">
        <v>39</v>
      </c>
      <c r="M345" s="5" t="str">
        <f>IF([1]Employees!$I345&gt;=90000, "High", "Low")</f>
        <v>Low</v>
      </c>
      <c r="N345" s="6" t="str" cm="1">
        <f t="array" ref="N345">_xlfn.IFS([1]Employees!$I345&gt;=90000, "High", [1]Employees!$I345&gt;=50000, "Medium", [1]Employees!$I345&lt;50000, "Low")</f>
        <v>Low</v>
      </c>
      <c r="O345" s="15" t="str">
        <f>IF([1]Employees!$I345&gt;=90000, "High", IF([1]Employees!$I345&gt;=50000, "Medium", "Low"))</f>
        <v>Low</v>
      </c>
    </row>
    <row r="346" spans="1:15" x14ac:dyDescent="0.3">
      <c r="A346" s="4" t="s">
        <v>1061</v>
      </c>
      <c r="B346" s="4" t="s">
        <v>74</v>
      </c>
      <c r="C346" s="4" t="s">
        <v>93</v>
      </c>
      <c r="D346" s="4" t="s">
        <v>18</v>
      </c>
      <c r="E346" s="4">
        <v>42</v>
      </c>
      <c r="F346" s="4" t="s">
        <v>53</v>
      </c>
      <c r="G346" s="4" t="s">
        <v>29</v>
      </c>
      <c r="H346" s="4" t="s">
        <v>1062</v>
      </c>
      <c r="I346" s="4">
        <v>80745</v>
      </c>
      <c r="J346" s="4" t="s">
        <v>83</v>
      </c>
      <c r="K346" s="4" t="s">
        <v>1063</v>
      </c>
      <c r="L346" s="4" t="s">
        <v>39</v>
      </c>
      <c r="M346" s="5" t="str">
        <f>IF([1]Employees!$I346&gt;=90000, "High", "Low")</f>
        <v>Low</v>
      </c>
      <c r="N346" s="6" t="str" cm="1">
        <f t="array" ref="N346">_xlfn.IFS([1]Employees!$I346&gt;=90000, "High", [1]Employees!$I346&gt;=50000, "Medium", [1]Employees!$I346&lt;50000, "Low")</f>
        <v>Medium</v>
      </c>
      <c r="O346" s="15" t="str">
        <f>IF([1]Employees!$I346&gt;=90000, "High", IF([1]Employees!$I346&gt;=50000, "Medium", "Low"))</f>
        <v>Medium</v>
      </c>
    </row>
    <row r="347" spans="1:15" x14ac:dyDescent="0.3">
      <c r="A347" s="4" t="s">
        <v>1064</v>
      </c>
      <c r="B347" s="4" t="s">
        <v>47</v>
      </c>
      <c r="C347" s="4" t="s">
        <v>86</v>
      </c>
      <c r="D347" s="4" t="s">
        <v>27</v>
      </c>
      <c r="E347" s="4">
        <v>24</v>
      </c>
      <c r="F347" s="4" t="s">
        <v>53</v>
      </c>
      <c r="G347" s="4" t="s">
        <v>111</v>
      </c>
      <c r="H347" s="4" t="s">
        <v>1065</v>
      </c>
      <c r="I347" s="4">
        <v>67559</v>
      </c>
      <c r="J347" s="4" t="s">
        <v>37</v>
      </c>
      <c r="K347" s="4" t="s">
        <v>1066</v>
      </c>
      <c r="L347" s="4" t="s">
        <v>24</v>
      </c>
      <c r="M347" s="5" t="str">
        <f>IF([1]Employees!$I347&gt;=90000, "High", "Low")</f>
        <v>Low</v>
      </c>
      <c r="N347" s="6" t="str" cm="1">
        <f t="array" ref="N347">_xlfn.IFS([1]Employees!$I347&gt;=90000, "High", [1]Employees!$I347&gt;=50000, "Medium", [1]Employees!$I347&lt;50000, "Low")</f>
        <v>Medium</v>
      </c>
      <c r="O347" s="15" t="str">
        <f>IF([1]Employees!$I347&gt;=90000, "High", IF([1]Employees!$I347&gt;=50000, "Medium", "Low"))</f>
        <v>Medium</v>
      </c>
    </row>
    <row r="348" spans="1:15" x14ac:dyDescent="0.3">
      <c r="A348" s="4" t="s">
        <v>1067</v>
      </c>
      <c r="B348" s="4" t="s">
        <v>61</v>
      </c>
      <c r="C348" s="4" t="s">
        <v>81</v>
      </c>
      <c r="D348" s="4" t="s">
        <v>27</v>
      </c>
      <c r="E348" s="4">
        <v>47</v>
      </c>
      <c r="F348" s="4" t="s">
        <v>42</v>
      </c>
      <c r="G348" s="4" t="s">
        <v>29</v>
      </c>
      <c r="H348" s="4" t="s">
        <v>1068</v>
      </c>
      <c r="I348" s="4">
        <v>106379</v>
      </c>
      <c r="J348" s="4" t="s">
        <v>37</v>
      </c>
      <c r="K348" s="4" t="s">
        <v>1069</v>
      </c>
      <c r="L348" s="4" t="s">
        <v>24</v>
      </c>
      <c r="M348" s="5" t="str">
        <f>IF([1]Employees!$I348&gt;=90000, "High", "Low")</f>
        <v>High</v>
      </c>
      <c r="N348" s="6" t="str" cm="1">
        <f t="array" ref="N348">_xlfn.IFS([1]Employees!$I348&gt;=90000, "High", [1]Employees!$I348&gt;=50000, "Medium", [1]Employees!$I348&lt;50000, "Low")</f>
        <v>High</v>
      </c>
      <c r="O348" s="15" t="str">
        <f>IF([1]Employees!$I348&gt;=90000, "High", IF([1]Employees!$I348&gt;=50000, "Medium", "Low"))</f>
        <v>High</v>
      </c>
    </row>
    <row r="349" spans="1:15" x14ac:dyDescent="0.3">
      <c r="A349" s="4" t="s">
        <v>1070</v>
      </c>
      <c r="B349" s="4" t="s">
        <v>16</v>
      </c>
      <c r="C349" s="4" t="s">
        <v>66</v>
      </c>
      <c r="D349" s="4" t="s">
        <v>27</v>
      </c>
      <c r="E349" s="4">
        <v>30</v>
      </c>
      <c r="F349" s="4" t="s">
        <v>34</v>
      </c>
      <c r="G349" s="4" t="s">
        <v>29</v>
      </c>
      <c r="H349" s="4" t="s">
        <v>1071</v>
      </c>
      <c r="I349" s="4">
        <v>103395</v>
      </c>
      <c r="J349" s="4" t="s">
        <v>22</v>
      </c>
      <c r="K349" s="4" t="s">
        <v>1072</v>
      </c>
      <c r="L349" s="4" t="s">
        <v>39</v>
      </c>
      <c r="M349" s="5" t="str">
        <f>IF([1]Employees!$I349&gt;=90000, "High", "Low")</f>
        <v>High</v>
      </c>
      <c r="N349" s="6" t="str" cm="1">
        <f t="array" ref="N349">_xlfn.IFS([1]Employees!$I349&gt;=90000, "High", [1]Employees!$I349&gt;=50000, "Medium", [1]Employees!$I349&lt;50000, "Low")</f>
        <v>High</v>
      </c>
      <c r="O349" s="15" t="str">
        <f>IF([1]Employees!$I349&gt;=90000, "High", IF([1]Employees!$I349&gt;=50000, "Medium", "Low"))</f>
        <v>High</v>
      </c>
    </row>
    <row r="350" spans="1:15" x14ac:dyDescent="0.3">
      <c r="A350" s="4" t="s">
        <v>1073</v>
      </c>
      <c r="B350" s="4" t="s">
        <v>97</v>
      </c>
      <c r="C350" s="4" t="s">
        <v>133</v>
      </c>
      <c r="D350" s="4" t="s">
        <v>18</v>
      </c>
      <c r="E350" s="4">
        <v>33</v>
      </c>
      <c r="F350" s="4" t="s">
        <v>42</v>
      </c>
      <c r="G350" s="4" t="s">
        <v>35</v>
      </c>
      <c r="H350" s="4" t="s">
        <v>1074</v>
      </c>
      <c r="I350" s="4">
        <v>76025</v>
      </c>
      <c r="J350" s="4" t="s">
        <v>37</v>
      </c>
      <c r="K350" s="4" t="s">
        <v>1075</v>
      </c>
      <c r="L350" s="4" t="s">
        <v>39</v>
      </c>
      <c r="M350" s="5" t="str">
        <f>IF([1]Employees!$I350&gt;=90000, "High", "Low")</f>
        <v>Low</v>
      </c>
      <c r="N350" s="6" t="str" cm="1">
        <f t="array" ref="N350">_xlfn.IFS([1]Employees!$I350&gt;=90000, "High", [1]Employees!$I350&gt;=50000, "Medium", [1]Employees!$I350&lt;50000, "Low")</f>
        <v>Medium</v>
      </c>
      <c r="O350" s="15" t="str">
        <f>IF([1]Employees!$I350&gt;=90000, "High", IF([1]Employees!$I350&gt;=50000, "Medium", "Low"))</f>
        <v>Medium</v>
      </c>
    </row>
    <row r="351" spans="1:15" x14ac:dyDescent="0.3">
      <c r="A351" s="4" t="s">
        <v>1076</v>
      </c>
      <c r="B351" s="4" t="s">
        <v>52</v>
      </c>
      <c r="C351" s="4" t="s">
        <v>17</v>
      </c>
      <c r="D351" s="4" t="s">
        <v>18</v>
      </c>
      <c r="E351" s="4">
        <v>33</v>
      </c>
      <c r="F351" s="4" t="s">
        <v>34</v>
      </c>
      <c r="G351" s="4" t="s">
        <v>20</v>
      </c>
      <c r="H351" s="4" t="s">
        <v>1077</v>
      </c>
      <c r="I351" s="4">
        <v>69952</v>
      </c>
      <c r="J351" s="4" t="s">
        <v>63</v>
      </c>
      <c r="K351" s="4" t="s">
        <v>1078</v>
      </c>
      <c r="L351" s="4" t="s">
        <v>39</v>
      </c>
      <c r="M351" s="5" t="str">
        <f>IF([1]Employees!$I351&gt;=90000, "High", "Low")</f>
        <v>Low</v>
      </c>
      <c r="N351" s="6" t="str" cm="1">
        <f t="array" ref="N351">_xlfn.IFS([1]Employees!$I351&gt;=90000, "High", [1]Employees!$I351&gt;=50000, "Medium", [1]Employees!$I351&lt;50000, "Low")</f>
        <v>Medium</v>
      </c>
      <c r="O351" s="15" t="str">
        <f>IF([1]Employees!$I351&gt;=90000, "High", IF([1]Employees!$I351&gt;=50000, "Medium", "Low"))</f>
        <v>Medium</v>
      </c>
    </row>
    <row r="352" spans="1:15" x14ac:dyDescent="0.3">
      <c r="A352" s="4" t="s">
        <v>1079</v>
      </c>
      <c r="B352" s="4" t="s">
        <v>52</v>
      </c>
      <c r="C352" s="4" t="s">
        <v>48</v>
      </c>
      <c r="D352" s="4" t="s">
        <v>18</v>
      </c>
      <c r="E352" s="4">
        <v>42</v>
      </c>
      <c r="F352" s="4" t="s">
        <v>19</v>
      </c>
      <c r="G352" s="4" t="s">
        <v>29</v>
      </c>
      <c r="H352" s="4" t="s">
        <v>1080</v>
      </c>
      <c r="I352" s="4">
        <v>108637</v>
      </c>
      <c r="J352" s="4" t="s">
        <v>37</v>
      </c>
      <c r="K352" s="4" t="s">
        <v>1081</v>
      </c>
      <c r="L352" s="4" t="s">
        <v>39</v>
      </c>
      <c r="M352" s="5" t="str">
        <f>IF([1]Employees!$I352&gt;=90000, "High", "Low")</f>
        <v>High</v>
      </c>
      <c r="N352" s="6" t="str" cm="1">
        <f t="array" ref="N352">_xlfn.IFS([1]Employees!$I352&gt;=90000, "High", [1]Employees!$I352&gt;=50000, "Medium", [1]Employees!$I352&lt;50000, "Low")</f>
        <v>High</v>
      </c>
      <c r="O352" s="15" t="str">
        <f>IF([1]Employees!$I352&gt;=90000, "High", IF([1]Employees!$I352&gt;=50000, "Medium", "Low"))</f>
        <v>High</v>
      </c>
    </row>
    <row r="353" spans="1:15" x14ac:dyDescent="0.3">
      <c r="A353" s="4" t="s">
        <v>1082</v>
      </c>
      <c r="B353" s="4" t="s">
        <v>47</v>
      </c>
      <c r="C353" s="4" t="s">
        <v>93</v>
      </c>
      <c r="D353" s="4" t="s">
        <v>18</v>
      </c>
      <c r="E353" s="4">
        <v>27</v>
      </c>
      <c r="F353" s="4" t="s">
        <v>34</v>
      </c>
      <c r="G353" s="4" t="s">
        <v>35</v>
      </c>
      <c r="H353" s="4" t="s">
        <v>1083</v>
      </c>
      <c r="I353" s="4">
        <v>65699</v>
      </c>
      <c r="J353" s="4" t="s">
        <v>37</v>
      </c>
      <c r="K353" s="4" t="s">
        <v>1084</v>
      </c>
      <c r="L353" s="4" t="s">
        <v>24</v>
      </c>
      <c r="M353" s="5" t="str">
        <f>IF([1]Employees!$I353&gt;=90000, "High", "Low")</f>
        <v>Low</v>
      </c>
      <c r="N353" s="6" t="str" cm="1">
        <f t="array" ref="N353">_xlfn.IFS([1]Employees!$I353&gt;=90000, "High", [1]Employees!$I353&gt;=50000, "Medium", [1]Employees!$I353&lt;50000, "Low")</f>
        <v>Medium</v>
      </c>
      <c r="O353" s="15" t="str">
        <f>IF([1]Employees!$I353&gt;=90000, "High", IF([1]Employees!$I353&gt;=50000, "Medium", "Low"))</f>
        <v>Medium</v>
      </c>
    </row>
    <row r="354" spans="1:15" x14ac:dyDescent="0.3">
      <c r="A354" s="4" t="s">
        <v>1085</v>
      </c>
      <c r="B354" s="4" t="s">
        <v>146</v>
      </c>
      <c r="C354" s="4" t="s">
        <v>66</v>
      </c>
      <c r="D354" s="4" t="s">
        <v>27</v>
      </c>
      <c r="E354" s="4">
        <v>50</v>
      </c>
      <c r="F354" s="4" t="s">
        <v>19</v>
      </c>
      <c r="G354" s="4" t="s">
        <v>43</v>
      </c>
      <c r="H354" s="4" t="s">
        <v>1086</v>
      </c>
      <c r="I354" s="4">
        <v>90340</v>
      </c>
      <c r="J354" s="4" t="s">
        <v>22</v>
      </c>
      <c r="K354" s="4" t="s">
        <v>1087</v>
      </c>
      <c r="L354" s="4" t="s">
        <v>24</v>
      </c>
      <c r="M354" s="5" t="str">
        <f>IF([1]Employees!$I354&gt;=90000, "High", "Low")</f>
        <v>High</v>
      </c>
      <c r="N354" s="6" t="str" cm="1">
        <f t="array" ref="N354">_xlfn.IFS([1]Employees!$I354&gt;=90000, "High", [1]Employees!$I354&gt;=50000, "Medium", [1]Employees!$I354&lt;50000, "Low")</f>
        <v>High</v>
      </c>
      <c r="O354" s="15" t="str">
        <f>IF([1]Employees!$I354&gt;=90000, "High", IF([1]Employees!$I354&gt;=50000, "Medium", "Low"))</f>
        <v>High</v>
      </c>
    </row>
    <row r="355" spans="1:15" x14ac:dyDescent="0.3">
      <c r="A355" s="4" t="s">
        <v>1088</v>
      </c>
      <c r="B355" s="4" t="s">
        <v>74</v>
      </c>
      <c r="C355" s="4" t="s">
        <v>98</v>
      </c>
      <c r="D355" s="4" t="s">
        <v>18</v>
      </c>
      <c r="E355" s="4">
        <v>31</v>
      </c>
      <c r="F355" s="4" t="s">
        <v>28</v>
      </c>
      <c r="G355" s="4" t="s">
        <v>43</v>
      </c>
      <c r="H355" s="4" t="s">
        <v>1089</v>
      </c>
      <c r="I355" s="4">
        <v>114818</v>
      </c>
      <c r="J355" s="4" t="s">
        <v>37</v>
      </c>
      <c r="K355" s="4" t="s">
        <v>1090</v>
      </c>
      <c r="L355" s="4" t="s">
        <v>39</v>
      </c>
      <c r="M355" s="5" t="str">
        <f>IF([1]Employees!$I355&gt;=90000, "High", "Low")</f>
        <v>High</v>
      </c>
      <c r="N355" s="6" t="str" cm="1">
        <f t="array" ref="N355">_xlfn.IFS([1]Employees!$I355&gt;=90000, "High", [1]Employees!$I355&gt;=50000, "Medium", [1]Employees!$I355&lt;50000, "Low")</f>
        <v>High</v>
      </c>
      <c r="O355" s="15" t="str">
        <f>IF([1]Employees!$I355&gt;=90000, "High", IF([1]Employees!$I355&gt;=50000, "Medium", "Low"))</f>
        <v>High</v>
      </c>
    </row>
    <row r="356" spans="1:15" x14ac:dyDescent="0.3">
      <c r="A356" s="4" t="s">
        <v>1091</v>
      </c>
      <c r="B356" s="4" t="s">
        <v>57</v>
      </c>
      <c r="C356" s="4" t="s">
        <v>17</v>
      </c>
      <c r="D356" s="4" t="s">
        <v>18</v>
      </c>
      <c r="E356" s="4">
        <v>39</v>
      </c>
      <c r="F356" s="4" t="s">
        <v>34</v>
      </c>
      <c r="G356" s="4" t="s">
        <v>111</v>
      </c>
      <c r="H356" s="4" t="s">
        <v>1092</v>
      </c>
      <c r="I356" s="4">
        <v>82417</v>
      </c>
      <c r="J356" s="4" t="s">
        <v>37</v>
      </c>
      <c r="K356" s="4" t="s">
        <v>1093</v>
      </c>
      <c r="L356" s="4" t="s">
        <v>39</v>
      </c>
      <c r="M356" s="5" t="str">
        <f>IF([1]Employees!$I356&gt;=90000, "High", "Low")</f>
        <v>Low</v>
      </c>
      <c r="N356" s="6" t="str" cm="1">
        <f t="array" ref="N356">_xlfn.IFS([1]Employees!$I356&gt;=90000, "High", [1]Employees!$I356&gt;=50000, "Medium", [1]Employees!$I356&lt;50000, "Low")</f>
        <v>Medium</v>
      </c>
      <c r="O356" s="15" t="str">
        <f>IF([1]Employees!$I356&gt;=90000, "High", IF([1]Employees!$I356&gt;=50000, "Medium", "Low"))</f>
        <v>Medium</v>
      </c>
    </row>
    <row r="357" spans="1:15" x14ac:dyDescent="0.3">
      <c r="A357" s="4" t="s">
        <v>1094</v>
      </c>
      <c r="B357" s="4" t="s">
        <v>57</v>
      </c>
      <c r="C357" s="4" t="s">
        <v>93</v>
      </c>
      <c r="D357" s="4" t="s">
        <v>27</v>
      </c>
      <c r="E357" s="4">
        <v>38</v>
      </c>
      <c r="F357" s="4" t="s">
        <v>42</v>
      </c>
      <c r="G357" s="4" t="s">
        <v>20</v>
      </c>
      <c r="H357" s="4" t="s">
        <v>1095</v>
      </c>
      <c r="I357" s="4">
        <v>116569</v>
      </c>
      <c r="J357" s="4" t="s">
        <v>83</v>
      </c>
      <c r="K357" s="4" t="s">
        <v>1096</v>
      </c>
      <c r="L357" s="4" t="s">
        <v>24</v>
      </c>
      <c r="M357" s="5" t="str">
        <f>IF([1]Employees!$I357&gt;=90000, "High", "Low")</f>
        <v>High</v>
      </c>
      <c r="N357" s="6" t="str" cm="1">
        <f t="array" ref="N357">_xlfn.IFS([1]Employees!$I357&gt;=90000, "High", [1]Employees!$I357&gt;=50000, "Medium", [1]Employees!$I357&lt;50000, "Low")</f>
        <v>High</v>
      </c>
      <c r="O357" s="15" t="str">
        <f>IF([1]Employees!$I357&gt;=90000, "High", IF([1]Employees!$I357&gt;=50000, "Medium", "Low"))</f>
        <v>High</v>
      </c>
    </row>
    <row r="358" spans="1:15" x14ac:dyDescent="0.3">
      <c r="A358" s="4" t="s">
        <v>1097</v>
      </c>
      <c r="B358" s="4" t="s">
        <v>61</v>
      </c>
      <c r="C358" s="4" t="s">
        <v>86</v>
      </c>
      <c r="D358" s="4" t="s">
        <v>27</v>
      </c>
      <c r="E358" s="4">
        <v>37</v>
      </c>
      <c r="F358" s="4" t="s">
        <v>53</v>
      </c>
      <c r="G358" s="4" t="s">
        <v>29</v>
      </c>
      <c r="H358" s="4" t="s">
        <v>1098</v>
      </c>
      <c r="I358" s="4">
        <v>98489</v>
      </c>
      <c r="J358" s="4" t="s">
        <v>63</v>
      </c>
      <c r="K358" s="4" t="s">
        <v>1099</v>
      </c>
      <c r="L358" s="4" t="s">
        <v>39</v>
      </c>
      <c r="M358" s="5" t="str">
        <f>IF([1]Employees!$I358&gt;=90000, "High", "Low")</f>
        <v>High</v>
      </c>
      <c r="N358" s="6" t="str" cm="1">
        <f t="array" ref="N358">_xlfn.IFS([1]Employees!$I358&gt;=90000, "High", [1]Employees!$I358&gt;=50000, "Medium", [1]Employees!$I358&lt;50000, "Low")</f>
        <v>High</v>
      </c>
      <c r="O358" s="15" t="str">
        <f>IF([1]Employees!$I358&gt;=90000, "High", IF([1]Employees!$I358&gt;=50000, "Medium", "Low"))</f>
        <v>High</v>
      </c>
    </row>
    <row r="359" spans="1:15" x14ac:dyDescent="0.3">
      <c r="A359" s="4" t="s">
        <v>1100</v>
      </c>
      <c r="B359" s="4" t="s">
        <v>61</v>
      </c>
      <c r="C359" s="4" t="s">
        <v>98</v>
      </c>
      <c r="D359" s="4" t="s">
        <v>18</v>
      </c>
      <c r="E359" s="4">
        <v>58</v>
      </c>
      <c r="F359" s="4" t="s">
        <v>34</v>
      </c>
      <c r="G359" s="4" t="s">
        <v>29</v>
      </c>
      <c r="H359" s="4" t="s">
        <v>1101</v>
      </c>
      <c r="I359" s="4">
        <v>60665</v>
      </c>
      <c r="J359" s="4" t="s">
        <v>63</v>
      </c>
      <c r="K359" s="4" t="s">
        <v>1102</v>
      </c>
      <c r="L359" s="4" t="s">
        <v>39</v>
      </c>
      <c r="M359" s="5" t="str">
        <f>IF([1]Employees!$I359&gt;=90000, "High", "Low")</f>
        <v>Low</v>
      </c>
      <c r="N359" s="6" t="str" cm="1">
        <f t="array" ref="N359">_xlfn.IFS([1]Employees!$I359&gt;=90000, "High", [1]Employees!$I359&gt;=50000, "Medium", [1]Employees!$I359&lt;50000, "Low")</f>
        <v>Medium</v>
      </c>
      <c r="O359" s="15" t="str">
        <f>IF([1]Employees!$I359&gt;=90000, "High", IF([1]Employees!$I359&gt;=50000, "Medium", "Low"))</f>
        <v>Medium</v>
      </c>
    </row>
    <row r="360" spans="1:15" x14ac:dyDescent="0.3">
      <c r="A360" s="4" t="s">
        <v>1103</v>
      </c>
      <c r="B360" s="4" t="s">
        <v>33</v>
      </c>
      <c r="C360" s="4" t="s">
        <v>133</v>
      </c>
      <c r="D360" s="4" t="s">
        <v>27</v>
      </c>
      <c r="E360" s="4">
        <v>59</v>
      </c>
      <c r="F360" s="4" t="s">
        <v>28</v>
      </c>
      <c r="G360" s="4" t="s">
        <v>43</v>
      </c>
      <c r="H360" s="4" t="s">
        <v>1104</v>
      </c>
      <c r="I360" s="4">
        <v>91685</v>
      </c>
      <c r="J360" s="4" t="s">
        <v>22</v>
      </c>
      <c r="K360" s="4" t="s">
        <v>1105</v>
      </c>
      <c r="L360" s="4" t="s">
        <v>39</v>
      </c>
      <c r="M360" s="5" t="str">
        <f>IF([1]Employees!$I360&gt;=90000, "High", "Low")</f>
        <v>High</v>
      </c>
      <c r="N360" s="6" t="str" cm="1">
        <f t="array" ref="N360">_xlfn.IFS([1]Employees!$I360&gt;=90000, "High", [1]Employees!$I360&gt;=50000, "Medium", [1]Employees!$I360&lt;50000, "Low")</f>
        <v>High</v>
      </c>
      <c r="O360" s="15" t="str">
        <f>IF([1]Employees!$I360&gt;=90000, "High", IF([1]Employees!$I360&gt;=50000, "Medium", "Low"))</f>
        <v>High</v>
      </c>
    </row>
    <row r="361" spans="1:15" x14ac:dyDescent="0.3">
      <c r="A361" s="4" t="s">
        <v>1106</v>
      </c>
      <c r="B361" s="4" t="s">
        <v>61</v>
      </c>
      <c r="C361" s="4" t="s">
        <v>133</v>
      </c>
      <c r="D361" s="4" t="s">
        <v>18</v>
      </c>
      <c r="E361" s="4">
        <v>55</v>
      </c>
      <c r="F361" s="4" t="s">
        <v>53</v>
      </c>
      <c r="G361" s="4" t="s">
        <v>111</v>
      </c>
      <c r="H361" s="4" t="s">
        <v>1107</v>
      </c>
      <c r="I361" s="4">
        <v>76843</v>
      </c>
      <c r="J361" s="4" t="s">
        <v>63</v>
      </c>
      <c r="K361" s="4" t="s">
        <v>1108</v>
      </c>
      <c r="L361" s="4" t="s">
        <v>24</v>
      </c>
      <c r="M361" s="5" t="str">
        <f>IF([1]Employees!$I361&gt;=90000, "High", "Low")</f>
        <v>Low</v>
      </c>
      <c r="N361" s="6" t="str" cm="1">
        <f t="array" ref="N361">_xlfn.IFS([1]Employees!$I361&gt;=90000, "High", [1]Employees!$I361&gt;=50000, "Medium", [1]Employees!$I361&lt;50000, "Low")</f>
        <v>Medium</v>
      </c>
      <c r="O361" s="15" t="str">
        <f>IF([1]Employees!$I361&gt;=90000, "High", IF([1]Employees!$I361&gt;=50000, "Medium", "Low"))</f>
        <v>Medium</v>
      </c>
    </row>
    <row r="362" spans="1:15" x14ac:dyDescent="0.3">
      <c r="A362" s="4" t="s">
        <v>1109</v>
      </c>
      <c r="B362" s="4" t="s">
        <v>61</v>
      </c>
      <c r="C362" s="4" t="s">
        <v>17</v>
      </c>
      <c r="D362" s="4" t="s">
        <v>27</v>
      </c>
      <c r="E362" s="4">
        <v>35</v>
      </c>
      <c r="F362" s="4" t="s">
        <v>42</v>
      </c>
      <c r="G362" s="4" t="s">
        <v>43</v>
      </c>
      <c r="H362" s="4" t="s">
        <v>1110</v>
      </c>
      <c r="I362" s="4">
        <v>91860</v>
      </c>
      <c r="J362" s="4" t="s">
        <v>63</v>
      </c>
      <c r="K362" s="4" t="s">
        <v>1111</v>
      </c>
      <c r="L362" s="4" t="s">
        <v>24</v>
      </c>
      <c r="M362" s="5" t="str">
        <f>IF([1]Employees!$I362&gt;=90000, "High", "Low")</f>
        <v>High</v>
      </c>
      <c r="N362" s="6" t="str" cm="1">
        <f t="array" ref="N362">_xlfn.IFS([1]Employees!$I362&gt;=90000, "High", [1]Employees!$I362&gt;=50000, "Medium", [1]Employees!$I362&lt;50000, "Low")</f>
        <v>High</v>
      </c>
      <c r="O362" s="15" t="str">
        <f>IF([1]Employees!$I362&gt;=90000, "High", IF([1]Employees!$I362&gt;=50000, "Medium", "Low"))</f>
        <v>High</v>
      </c>
    </row>
    <row r="363" spans="1:15" x14ac:dyDescent="0.3">
      <c r="A363" s="4" t="s">
        <v>1112</v>
      </c>
      <c r="B363" s="4" t="s">
        <v>74</v>
      </c>
      <c r="C363" s="4" t="s">
        <v>17</v>
      </c>
      <c r="D363" s="4" t="s">
        <v>27</v>
      </c>
      <c r="E363" s="4">
        <v>60</v>
      </c>
      <c r="F363" s="4" t="s">
        <v>19</v>
      </c>
      <c r="G363" s="4" t="s">
        <v>20</v>
      </c>
      <c r="H363" s="4" t="s">
        <v>1113</v>
      </c>
      <c r="I363" s="4">
        <v>117041</v>
      </c>
      <c r="J363" s="4" t="s">
        <v>22</v>
      </c>
      <c r="K363" s="4" t="s">
        <v>1114</v>
      </c>
      <c r="L363" s="4" t="s">
        <v>39</v>
      </c>
      <c r="M363" s="5" t="str">
        <f>IF([1]Employees!$I363&gt;=90000, "High", "Low")</f>
        <v>High</v>
      </c>
      <c r="N363" s="6" t="str" cm="1">
        <f t="array" ref="N363">_xlfn.IFS([1]Employees!$I363&gt;=90000, "High", [1]Employees!$I363&gt;=50000, "Medium", [1]Employees!$I363&lt;50000, "Low")</f>
        <v>High</v>
      </c>
      <c r="O363" s="15" t="str">
        <f>IF([1]Employees!$I363&gt;=90000, "High", IF([1]Employees!$I363&gt;=50000, "Medium", "Low"))</f>
        <v>High</v>
      </c>
    </row>
    <row r="364" spans="1:15" x14ac:dyDescent="0.3">
      <c r="A364" s="4" t="s">
        <v>1115</v>
      </c>
      <c r="B364" s="4" t="s">
        <v>16</v>
      </c>
      <c r="C364" s="4" t="s">
        <v>17</v>
      </c>
      <c r="D364" s="4" t="s">
        <v>27</v>
      </c>
      <c r="E364" s="4">
        <v>45</v>
      </c>
      <c r="F364" s="4" t="s">
        <v>34</v>
      </c>
      <c r="G364" s="4" t="s">
        <v>111</v>
      </c>
      <c r="H364" s="4" t="s">
        <v>1116</v>
      </c>
      <c r="I364" s="4">
        <v>93769</v>
      </c>
      <c r="J364" s="4" t="s">
        <v>83</v>
      </c>
      <c r="K364" s="4" t="s">
        <v>1117</v>
      </c>
      <c r="L364" s="4" t="s">
        <v>24</v>
      </c>
      <c r="M364" s="5" t="str">
        <f>IF([1]Employees!$I364&gt;=90000, "High", "Low")</f>
        <v>High</v>
      </c>
      <c r="N364" s="6" t="str" cm="1">
        <f t="array" ref="N364">_xlfn.IFS([1]Employees!$I364&gt;=90000, "High", [1]Employees!$I364&gt;=50000, "Medium", [1]Employees!$I364&lt;50000, "Low")</f>
        <v>High</v>
      </c>
      <c r="O364" s="15" t="str">
        <f>IF([1]Employees!$I364&gt;=90000, "High", IF([1]Employees!$I364&gt;=50000, "Medium", "Low"))</f>
        <v>High</v>
      </c>
    </row>
    <row r="365" spans="1:15" x14ac:dyDescent="0.3">
      <c r="A365" s="4" t="s">
        <v>1118</v>
      </c>
      <c r="B365" s="4" t="s">
        <v>146</v>
      </c>
      <c r="C365" s="4" t="s">
        <v>168</v>
      </c>
      <c r="D365" s="4" t="s">
        <v>27</v>
      </c>
      <c r="E365" s="4">
        <v>37</v>
      </c>
      <c r="F365" s="4" t="s">
        <v>53</v>
      </c>
      <c r="G365" s="4" t="s">
        <v>111</v>
      </c>
      <c r="H365" s="4" t="s">
        <v>1119</v>
      </c>
      <c r="I365" s="4">
        <v>43224</v>
      </c>
      <c r="J365" s="4" t="s">
        <v>37</v>
      </c>
      <c r="K365" s="4" t="s">
        <v>1120</v>
      </c>
      <c r="L365" s="4" t="s">
        <v>24</v>
      </c>
      <c r="M365" s="5" t="str">
        <f>IF([1]Employees!$I365&gt;=90000, "High", "Low")</f>
        <v>Low</v>
      </c>
      <c r="N365" s="6" t="str" cm="1">
        <f t="array" ref="N365">_xlfn.IFS([1]Employees!$I365&gt;=90000, "High", [1]Employees!$I365&gt;=50000, "Medium", [1]Employees!$I365&lt;50000, "Low")</f>
        <v>Low</v>
      </c>
      <c r="O365" s="15" t="str">
        <f>IF([1]Employees!$I365&gt;=90000, "High", IF([1]Employees!$I365&gt;=50000, "Medium", "Low"))</f>
        <v>Low</v>
      </c>
    </row>
    <row r="366" spans="1:15" x14ac:dyDescent="0.3">
      <c r="A366" s="4" t="s">
        <v>1121</v>
      </c>
      <c r="B366" s="4" t="s">
        <v>146</v>
      </c>
      <c r="C366" s="4" t="s">
        <v>17</v>
      </c>
      <c r="D366" s="4" t="s">
        <v>27</v>
      </c>
      <c r="E366" s="4">
        <v>43</v>
      </c>
      <c r="F366" s="4" t="s">
        <v>53</v>
      </c>
      <c r="G366" s="4" t="s">
        <v>29</v>
      </c>
      <c r="H366" s="4" t="s">
        <v>1122</v>
      </c>
      <c r="I366" s="4">
        <v>101866</v>
      </c>
      <c r="J366" s="4" t="s">
        <v>83</v>
      </c>
      <c r="K366" s="4" t="s">
        <v>1123</v>
      </c>
      <c r="L366" s="4" t="s">
        <v>39</v>
      </c>
      <c r="M366" s="5" t="str">
        <f>IF([1]Employees!$I366&gt;=90000, "High", "Low")</f>
        <v>High</v>
      </c>
      <c r="N366" s="6" t="str" cm="1">
        <f t="array" ref="N366">_xlfn.IFS([1]Employees!$I366&gt;=90000, "High", [1]Employees!$I366&gt;=50000, "Medium", [1]Employees!$I366&lt;50000, "Low")</f>
        <v>High</v>
      </c>
      <c r="O366" s="15" t="str">
        <f>IF([1]Employees!$I366&gt;=90000, "High", IF([1]Employees!$I366&gt;=50000, "Medium", "Low"))</f>
        <v>High</v>
      </c>
    </row>
    <row r="367" spans="1:15" x14ac:dyDescent="0.3">
      <c r="A367" s="4" t="s">
        <v>1124</v>
      </c>
      <c r="B367" s="4" t="s">
        <v>52</v>
      </c>
      <c r="C367" s="4" t="s">
        <v>98</v>
      </c>
      <c r="D367" s="4" t="s">
        <v>18</v>
      </c>
      <c r="E367" s="4">
        <v>56</v>
      </c>
      <c r="F367" s="4" t="s">
        <v>42</v>
      </c>
      <c r="G367" s="4" t="s">
        <v>43</v>
      </c>
      <c r="H367" s="4" t="s">
        <v>1125</v>
      </c>
      <c r="I367" s="4">
        <v>101636</v>
      </c>
      <c r="J367" s="4" t="s">
        <v>83</v>
      </c>
      <c r="K367" s="4" t="s">
        <v>1126</v>
      </c>
      <c r="L367" s="4" t="s">
        <v>39</v>
      </c>
      <c r="M367" s="5" t="str">
        <f>IF([1]Employees!$I367&gt;=90000, "High", "Low")</f>
        <v>High</v>
      </c>
      <c r="N367" s="6" t="str" cm="1">
        <f t="array" ref="N367">_xlfn.IFS([1]Employees!$I367&gt;=90000, "High", [1]Employees!$I367&gt;=50000, "Medium", [1]Employees!$I367&lt;50000, "Low")</f>
        <v>High</v>
      </c>
      <c r="O367" s="15" t="str">
        <f>IF([1]Employees!$I367&gt;=90000, "High", IF([1]Employees!$I367&gt;=50000, "Medium", "Low"))</f>
        <v>High</v>
      </c>
    </row>
    <row r="368" spans="1:15" x14ac:dyDescent="0.3">
      <c r="A368" s="4" t="s">
        <v>1127</v>
      </c>
      <c r="B368" s="4" t="s">
        <v>57</v>
      </c>
      <c r="C368" s="4" t="s">
        <v>81</v>
      </c>
      <c r="D368" s="4" t="s">
        <v>27</v>
      </c>
      <c r="E368" s="4">
        <v>42</v>
      </c>
      <c r="F368" s="4" t="s">
        <v>28</v>
      </c>
      <c r="G368" s="4" t="s">
        <v>20</v>
      </c>
      <c r="H368" s="4" t="s">
        <v>1128</v>
      </c>
      <c r="I368" s="4">
        <v>106833</v>
      </c>
      <c r="J368" s="4" t="s">
        <v>22</v>
      </c>
      <c r="K368" s="4" t="s">
        <v>1129</v>
      </c>
      <c r="L368" s="4" t="s">
        <v>39</v>
      </c>
      <c r="M368" s="5" t="str">
        <f>IF([1]Employees!$I368&gt;=90000, "High", "Low")</f>
        <v>High</v>
      </c>
      <c r="N368" s="6" t="str" cm="1">
        <f t="array" ref="N368">_xlfn.IFS([1]Employees!$I368&gt;=90000, "High", [1]Employees!$I368&gt;=50000, "Medium", [1]Employees!$I368&lt;50000, "Low")</f>
        <v>High</v>
      </c>
      <c r="O368" s="15" t="str">
        <f>IF([1]Employees!$I368&gt;=90000, "High", IF([1]Employees!$I368&gt;=50000, "Medium", "Low"))</f>
        <v>High</v>
      </c>
    </row>
    <row r="369" spans="1:15" x14ac:dyDescent="0.3">
      <c r="A369" s="4" t="s">
        <v>1130</v>
      </c>
      <c r="B369" s="4" t="s">
        <v>33</v>
      </c>
      <c r="C369" s="4" t="s">
        <v>48</v>
      </c>
      <c r="D369" s="4" t="s">
        <v>18</v>
      </c>
      <c r="E369" s="4">
        <v>42</v>
      </c>
      <c r="F369" s="4" t="s">
        <v>19</v>
      </c>
      <c r="G369" s="4" t="s">
        <v>35</v>
      </c>
      <c r="H369" s="4" t="s">
        <v>1131</v>
      </c>
      <c r="I369" s="4">
        <v>75163</v>
      </c>
      <c r="J369" s="4" t="s">
        <v>37</v>
      </c>
      <c r="K369" s="4" t="s">
        <v>1132</v>
      </c>
      <c r="L369" s="4" t="s">
        <v>24</v>
      </c>
      <c r="M369" s="5" t="str">
        <f>IF([1]Employees!$I369&gt;=90000, "High", "Low")</f>
        <v>Low</v>
      </c>
      <c r="N369" s="6" t="str" cm="1">
        <f t="array" ref="N369">_xlfn.IFS([1]Employees!$I369&gt;=90000, "High", [1]Employees!$I369&gt;=50000, "Medium", [1]Employees!$I369&lt;50000, "Low")</f>
        <v>Medium</v>
      </c>
      <c r="O369" s="15" t="str">
        <f>IF([1]Employees!$I369&gt;=90000, "High", IF([1]Employees!$I369&gt;=50000, "Medium", "Low"))</f>
        <v>Medium</v>
      </c>
    </row>
    <row r="370" spans="1:15" x14ac:dyDescent="0.3">
      <c r="A370" s="4" t="s">
        <v>1133</v>
      </c>
      <c r="B370" s="4" t="s">
        <v>61</v>
      </c>
      <c r="C370" s="4" t="s">
        <v>133</v>
      </c>
      <c r="D370" s="4" t="s">
        <v>27</v>
      </c>
      <c r="E370" s="4">
        <v>41</v>
      </c>
      <c r="F370" s="4" t="s">
        <v>53</v>
      </c>
      <c r="G370" s="4" t="s">
        <v>29</v>
      </c>
      <c r="H370" s="4" t="s">
        <v>1134</v>
      </c>
      <c r="I370" s="4">
        <v>86763</v>
      </c>
      <c r="J370" s="4" t="s">
        <v>63</v>
      </c>
      <c r="K370" s="4" t="s">
        <v>1135</v>
      </c>
      <c r="L370" s="4" t="s">
        <v>39</v>
      </c>
      <c r="M370" s="5" t="str">
        <f>IF([1]Employees!$I370&gt;=90000, "High", "Low")</f>
        <v>Low</v>
      </c>
      <c r="N370" s="6" t="str" cm="1">
        <f t="array" ref="N370">_xlfn.IFS([1]Employees!$I370&gt;=90000, "High", [1]Employees!$I370&gt;=50000, "Medium", [1]Employees!$I370&lt;50000, "Low")</f>
        <v>Medium</v>
      </c>
      <c r="O370" s="15" t="str">
        <f>IF([1]Employees!$I370&gt;=90000, "High", IF([1]Employees!$I370&gt;=50000, "Medium", "Low"))</f>
        <v>Medium</v>
      </c>
    </row>
    <row r="371" spans="1:15" x14ac:dyDescent="0.3">
      <c r="A371" s="4" t="s">
        <v>1136</v>
      </c>
      <c r="B371" s="4" t="s">
        <v>97</v>
      </c>
      <c r="C371" s="4" t="s">
        <v>133</v>
      </c>
      <c r="D371" s="4" t="s">
        <v>18</v>
      </c>
      <c r="E371" s="4">
        <v>49</v>
      </c>
      <c r="F371" s="4" t="s">
        <v>53</v>
      </c>
      <c r="G371" s="4" t="s">
        <v>43</v>
      </c>
      <c r="H371" s="4" t="s">
        <v>1137</v>
      </c>
      <c r="I371" s="4">
        <v>54974</v>
      </c>
      <c r="J371" s="4" t="s">
        <v>83</v>
      </c>
      <c r="K371" s="4" t="s">
        <v>1138</v>
      </c>
      <c r="L371" s="4" t="s">
        <v>39</v>
      </c>
      <c r="M371" s="5" t="str">
        <f>IF([1]Employees!$I371&gt;=90000, "High", "Low")</f>
        <v>Low</v>
      </c>
      <c r="N371" s="6" t="str" cm="1">
        <f t="array" ref="N371">_xlfn.IFS([1]Employees!$I371&gt;=90000, "High", [1]Employees!$I371&gt;=50000, "Medium", [1]Employees!$I371&lt;50000, "Low")</f>
        <v>Medium</v>
      </c>
      <c r="O371" s="15" t="str">
        <f>IF([1]Employees!$I371&gt;=90000, "High", IF([1]Employees!$I371&gt;=50000, "Medium", "Low"))</f>
        <v>Medium</v>
      </c>
    </row>
    <row r="372" spans="1:15" x14ac:dyDescent="0.3">
      <c r="A372" s="4" t="s">
        <v>1139</v>
      </c>
      <c r="B372" s="4" t="s">
        <v>146</v>
      </c>
      <c r="C372" s="4" t="s">
        <v>66</v>
      </c>
      <c r="D372" s="4" t="s">
        <v>18</v>
      </c>
      <c r="E372" s="4">
        <v>30</v>
      </c>
      <c r="F372" s="4" t="s">
        <v>34</v>
      </c>
      <c r="G372" s="4" t="s">
        <v>35</v>
      </c>
      <c r="H372" s="4" t="s">
        <v>1140</v>
      </c>
      <c r="I372" s="4">
        <v>74728</v>
      </c>
      <c r="J372" s="4" t="s">
        <v>22</v>
      </c>
      <c r="K372" s="4" t="s">
        <v>1141</v>
      </c>
      <c r="L372" s="4" t="s">
        <v>39</v>
      </c>
      <c r="M372" s="5" t="str">
        <f>IF([1]Employees!$I372&gt;=90000, "High", "Low")</f>
        <v>Low</v>
      </c>
      <c r="N372" s="6" t="str" cm="1">
        <f t="array" ref="N372">_xlfn.IFS([1]Employees!$I372&gt;=90000, "High", [1]Employees!$I372&gt;=50000, "Medium", [1]Employees!$I372&lt;50000, "Low")</f>
        <v>Medium</v>
      </c>
      <c r="O372" s="15" t="str">
        <f>IF([1]Employees!$I372&gt;=90000, "High", IF([1]Employees!$I372&gt;=50000, "Medium", "Low"))</f>
        <v>Medium</v>
      </c>
    </row>
    <row r="373" spans="1:15" x14ac:dyDescent="0.3">
      <c r="A373" s="4" t="s">
        <v>1142</v>
      </c>
      <c r="B373" s="4" t="s">
        <v>16</v>
      </c>
      <c r="C373" s="4" t="s">
        <v>133</v>
      </c>
      <c r="D373" s="4" t="s">
        <v>27</v>
      </c>
      <c r="E373" s="4">
        <v>58</v>
      </c>
      <c r="F373" s="4" t="s">
        <v>34</v>
      </c>
      <c r="G373" s="4" t="s">
        <v>43</v>
      </c>
      <c r="H373" s="4" t="s">
        <v>199</v>
      </c>
      <c r="I373" s="4">
        <v>88207</v>
      </c>
      <c r="J373" s="4" t="s">
        <v>83</v>
      </c>
      <c r="K373" s="4" t="s">
        <v>1143</v>
      </c>
      <c r="L373" s="4" t="s">
        <v>39</v>
      </c>
      <c r="M373" s="5" t="str">
        <f>IF([1]Employees!$I373&gt;=90000, "High", "Low")</f>
        <v>Low</v>
      </c>
      <c r="N373" s="6" t="str" cm="1">
        <f t="array" ref="N373">_xlfn.IFS([1]Employees!$I373&gt;=90000, "High", [1]Employees!$I373&gt;=50000, "Medium", [1]Employees!$I373&lt;50000, "Low")</f>
        <v>Medium</v>
      </c>
      <c r="O373" s="15" t="str">
        <f>IF([1]Employees!$I373&gt;=90000, "High", IF([1]Employees!$I373&gt;=50000, "Medium", "Low"))</f>
        <v>Medium</v>
      </c>
    </row>
    <row r="374" spans="1:15" x14ac:dyDescent="0.3">
      <c r="A374" s="4" t="s">
        <v>1144</v>
      </c>
      <c r="B374" s="4" t="s">
        <v>33</v>
      </c>
      <c r="C374" s="4" t="s">
        <v>81</v>
      </c>
      <c r="D374" s="4" t="s">
        <v>27</v>
      </c>
      <c r="E374" s="4">
        <v>56</v>
      </c>
      <c r="F374" s="4" t="s">
        <v>42</v>
      </c>
      <c r="G374" s="4" t="s">
        <v>43</v>
      </c>
      <c r="H374" s="4" t="s">
        <v>621</v>
      </c>
      <c r="I374" s="4">
        <v>96878</v>
      </c>
      <c r="J374" s="4" t="s">
        <v>63</v>
      </c>
      <c r="K374" s="4" t="s">
        <v>1145</v>
      </c>
      <c r="L374" s="4" t="s">
        <v>24</v>
      </c>
      <c r="M374" s="5" t="str">
        <f>IF([1]Employees!$I374&gt;=90000, "High", "Low")</f>
        <v>High</v>
      </c>
      <c r="N374" s="6" t="str" cm="1">
        <f t="array" ref="N374">_xlfn.IFS([1]Employees!$I374&gt;=90000, "High", [1]Employees!$I374&gt;=50000, "Medium", [1]Employees!$I374&lt;50000, "Low")</f>
        <v>High</v>
      </c>
      <c r="O374" s="15" t="str">
        <f>IF([1]Employees!$I374&gt;=90000, "High", IF([1]Employees!$I374&gt;=50000, "Medium", "Low"))</f>
        <v>High</v>
      </c>
    </row>
    <row r="375" spans="1:15" x14ac:dyDescent="0.3">
      <c r="A375" s="4" t="s">
        <v>1146</v>
      </c>
      <c r="B375" s="4" t="s">
        <v>57</v>
      </c>
      <c r="C375" s="4" t="s">
        <v>93</v>
      </c>
      <c r="D375" s="4" t="s">
        <v>18</v>
      </c>
      <c r="E375" s="4">
        <v>27</v>
      </c>
      <c r="F375" s="4" t="s">
        <v>28</v>
      </c>
      <c r="G375" s="4" t="s">
        <v>43</v>
      </c>
      <c r="H375" s="4" t="s">
        <v>1147</v>
      </c>
      <c r="I375" s="4">
        <v>49341</v>
      </c>
      <c r="J375" s="4" t="s">
        <v>63</v>
      </c>
      <c r="K375" s="4" t="s">
        <v>1148</v>
      </c>
      <c r="L375" s="4" t="s">
        <v>39</v>
      </c>
      <c r="M375" s="5" t="str">
        <f>IF([1]Employees!$I375&gt;=90000, "High", "Low")</f>
        <v>Low</v>
      </c>
      <c r="N375" s="6" t="str" cm="1">
        <f t="array" ref="N375">_xlfn.IFS([1]Employees!$I375&gt;=90000, "High", [1]Employees!$I375&gt;=50000, "Medium", [1]Employees!$I375&lt;50000, "Low")</f>
        <v>Low</v>
      </c>
      <c r="O375" s="15" t="str">
        <f>IF([1]Employees!$I375&gt;=90000, "High", IF([1]Employees!$I375&gt;=50000, "Medium", "Low"))</f>
        <v>Low</v>
      </c>
    </row>
    <row r="376" spans="1:15" x14ac:dyDescent="0.3">
      <c r="A376" s="4" t="s">
        <v>1149</v>
      </c>
      <c r="B376" s="4" t="s">
        <v>16</v>
      </c>
      <c r="C376" s="4" t="s">
        <v>168</v>
      </c>
      <c r="D376" s="4" t="s">
        <v>18</v>
      </c>
      <c r="E376" s="4">
        <v>57</v>
      </c>
      <c r="F376" s="4" t="s">
        <v>42</v>
      </c>
      <c r="G376" s="4" t="s">
        <v>29</v>
      </c>
      <c r="H376" s="4" t="s">
        <v>1150</v>
      </c>
      <c r="I376" s="4">
        <v>87757</v>
      </c>
      <c r="J376" s="4" t="s">
        <v>22</v>
      </c>
      <c r="K376" s="4" t="s">
        <v>1151</v>
      </c>
      <c r="L376" s="4" t="s">
        <v>24</v>
      </c>
      <c r="M376" s="5" t="str">
        <f>IF([1]Employees!$I376&gt;=90000, "High", "Low")</f>
        <v>Low</v>
      </c>
      <c r="N376" s="6" t="str" cm="1">
        <f t="array" ref="N376">_xlfn.IFS([1]Employees!$I376&gt;=90000, "High", [1]Employees!$I376&gt;=50000, "Medium", [1]Employees!$I376&lt;50000, "Low")</f>
        <v>Medium</v>
      </c>
      <c r="O376" s="15" t="str">
        <f>IF([1]Employees!$I376&gt;=90000, "High", IF([1]Employees!$I376&gt;=50000, "Medium", "Low"))</f>
        <v>Medium</v>
      </c>
    </row>
    <row r="377" spans="1:15" x14ac:dyDescent="0.3">
      <c r="A377" s="4" t="s">
        <v>1152</v>
      </c>
      <c r="B377" s="4" t="s">
        <v>97</v>
      </c>
      <c r="C377" s="4" t="s">
        <v>17</v>
      </c>
      <c r="D377" s="4" t="s">
        <v>18</v>
      </c>
      <c r="E377" s="4">
        <v>28</v>
      </c>
      <c r="F377" s="4" t="s">
        <v>53</v>
      </c>
      <c r="G377" s="4" t="s">
        <v>20</v>
      </c>
      <c r="H377" s="4" t="s">
        <v>1153</v>
      </c>
      <c r="I377" s="4">
        <v>113590</v>
      </c>
      <c r="J377" s="4" t="s">
        <v>22</v>
      </c>
      <c r="K377" s="4" t="s">
        <v>1154</v>
      </c>
      <c r="L377" s="4" t="s">
        <v>39</v>
      </c>
      <c r="M377" s="5" t="str">
        <f>IF([1]Employees!$I377&gt;=90000, "High", "Low")</f>
        <v>High</v>
      </c>
      <c r="N377" s="6" t="str" cm="1">
        <f t="array" ref="N377">_xlfn.IFS([1]Employees!$I377&gt;=90000, "High", [1]Employees!$I377&gt;=50000, "Medium", [1]Employees!$I377&lt;50000, "Low")</f>
        <v>High</v>
      </c>
      <c r="O377" s="15" t="str">
        <f>IF([1]Employees!$I377&gt;=90000, "High", IF([1]Employees!$I377&gt;=50000, "Medium", "Low"))</f>
        <v>High</v>
      </c>
    </row>
    <row r="378" spans="1:15" x14ac:dyDescent="0.3">
      <c r="A378" s="4" t="s">
        <v>1155</v>
      </c>
      <c r="B378" s="4" t="s">
        <v>57</v>
      </c>
      <c r="C378" s="4" t="s">
        <v>93</v>
      </c>
      <c r="D378" s="4" t="s">
        <v>18</v>
      </c>
      <c r="E378" s="4">
        <v>37</v>
      </c>
      <c r="F378" s="4" t="s">
        <v>19</v>
      </c>
      <c r="G378" s="4" t="s">
        <v>35</v>
      </c>
      <c r="H378" s="4" t="s">
        <v>1156</v>
      </c>
      <c r="I378" s="4">
        <v>82897</v>
      </c>
      <c r="J378" s="4" t="s">
        <v>37</v>
      </c>
      <c r="K378" s="4" t="s">
        <v>1157</v>
      </c>
      <c r="L378" s="4" t="s">
        <v>24</v>
      </c>
      <c r="M378" s="5" t="str">
        <f>IF([1]Employees!$I378&gt;=90000, "High", "Low")</f>
        <v>Low</v>
      </c>
      <c r="N378" s="6" t="str" cm="1">
        <f t="array" ref="N378">_xlfn.IFS([1]Employees!$I378&gt;=90000, "High", [1]Employees!$I378&gt;=50000, "Medium", [1]Employees!$I378&lt;50000, "Low")</f>
        <v>Medium</v>
      </c>
      <c r="O378" s="15" t="str">
        <f>IF([1]Employees!$I378&gt;=90000, "High", IF([1]Employees!$I378&gt;=50000, "Medium", "Low"))</f>
        <v>Medium</v>
      </c>
    </row>
    <row r="379" spans="1:15" x14ac:dyDescent="0.3">
      <c r="A379" s="4" t="s">
        <v>1158</v>
      </c>
      <c r="B379" s="4" t="s">
        <v>97</v>
      </c>
      <c r="C379" s="4" t="s">
        <v>93</v>
      </c>
      <c r="D379" s="4" t="s">
        <v>18</v>
      </c>
      <c r="E379" s="4">
        <v>37</v>
      </c>
      <c r="F379" s="4" t="s">
        <v>28</v>
      </c>
      <c r="G379" s="4" t="s">
        <v>35</v>
      </c>
      <c r="H379" s="4" t="s">
        <v>1159</v>
      </c>
      <c r="I379" s="4">
        <v>69652</v>
      </c>
      <c r="J379" s="4" t="s">
        <v>68</v>
      </c>
      <c r="K379" s="4" t="s">
        <v>1160</v>
      </c>
      <c r="L379" s="4" t="s">
        <v>39</v>
      </c>
      <c r="M379" s="5" t="str">
        <f>IF([1]Employees!$I379&gt;=90000, "High", "Low")</f>
        <v>Low</v>
      </c>
      <c r="N379" s="6" t="str" cm="1">
        <f t="array" ref="N379">_xlfn.IFS([1]Employees!$I379&gt;=90000, "High", [1]Employees!$I379&gt;=50000, "Medium", [1]Employees!$I379&lt;50000, "Low")</f>
        <v>Medium</v>
      </c>
      <c r="O379" s="15" t="str">
        <f>IF([1]Employees!$I379&gt;=90000, "High", IF([1]Employees!$I379&gt;=50000, "Medium", "Low"))</f>
        <v>Medium</v>
      </c>
    </row>
    <row r="380" spans="1:15" x14ac:dyDescent="0.3">
      <c r="A380" s="4" t="s">
        <v>1161</v>
      </c>
      <c r="B380" s="4" t="s">
        <v>61</v>
      </c>
      <c r="C380" s="4" t="s">
        <v>17</v>
      </c>
      <c r="D380" s="4" t="s">
        <v>18</v>
      </c>
      <c r="E380" s="4">
        <v>22</v>
      </c>
      <c r="F380" s="4" t="s">
        <v>28</v>
      </c>
      <c r="G380" s="4" t="s">
        <v>111</v>
      </c>
      <c r="H380" s="4" t="s">
        <v>1162</v>
      </c>
      <c r="I380" s="4">
        <v>92754</v>
      </c>
      <c r="J380" s="4" t="s">
        <v>22</v>
      </c>
      <c r="K380" s="4" t="s">
        <v>1163</v>
      </c>
      <c r="L380" s="4" t="s">
        <v>24</v>
      </c>
      <c r="M380" s="5" t="str">
        <f>IF([1]Employees!$I380&gt;=90000, "High", "Low")</f>
        <v>High</v>
      </c>
      <c r="N380" s="6" t="str" cm="1">
        <f t="array" ref="N380">_xlfn.IFS([1]Employees!$I380&gt;=90000, "High", [1]Employees!$I380&gt;=50000, "Medium", [1]Employees!$I380&lt;50000, "Low")</f>
        <v>High</v>
      </c>
      <c r="O380" s="15" t="str">
        <f>IF([1]Employees!$I380&gt;=90000, "High", IF([1]Employees!$I380&gt;=50000, "Medium", "Low"))</f>
        <v>High</v>
      </c>
    </row>
    <row r="381" spans="1:15" x14ac:dyDescent="0.3">
      <c r="A381" s="4" t="s">
        <v>1164</v>
      </c>
      <c r="B381" s="4" t="s">
        <v>52</v>
      </c>
      <c r="C381" s="4" t="s">
        <v>17</v>
      </c>
      <c r="D381" s="4" t="s">
        <v>27</v>
      </c>
      <c r="E381" s="4">
        <v>24</v>
      </c>
      <c r="F381" s="4" t="s">
        <v>28</v>
      </c>
      <c r="G381" s="4" t="s">
        <v>20</v>
      </c>
      <c r="H381" s="4" t="s">
        <v>1165</v>
      </c>
      <c r="I381" s="4">
        <v>65180</v>
      </c>
      <c r="J381" s="4" t="s">
        <v>68</v>
      </c>
      <c r="K381" s="4" t="s">
        <v>1166</v>
      </c>
      <c r="L381" s="4" t="s">
        <v>24</v>
      </c>
      <c r="M381" s="5" t="str">
        <f>IF([1]Employees!$I381&gt;=90000, "High", "Low")</f>
        <v>Low</v>
      </c>
      <c r="N381" s="6" t="str" cm="1">
        <f t="array" ref="N381">_xlfn.IFS([1]Employees!$I381&gt;=90000, "High", [1]Employees!$I381&gt;=50000, "Medium", [1]Employees!$I381&lt;50000, "Low")</f>
        <v>Medium</v>
      </c>
      <c r="O381" s="15" t="str">
        <f>IF([1]Employees!$I381&gt;=90000, "High", IF([1]Employees!$I381&gt;=50000, "Medium", "Low"))</f>
        <v>Medium</v>
      </c>
    </row>
    <row r="382" spans="1:15" x14ac:dyDescent="0.3">
      <c r="A382" s="4" t="s">
        <v>1167</v>
      </c>
      <c r="B382" s="4" t="s">
        <v>41</v>
      </c>
      <c r="C382" s="4" t="s">
        <v>66</v>
      </c>
      <c r="D382" s="4" t="s">
        <v>18</v>
      </c>
      <c r="E382" s="4">
        <v>60</v>
      </c>
      <c r="F382" s="4" t="s">
        <v>34</v>
      </c>
      <c r="G382" s="4" t="s">
        <v>29</v>
      </c>
      <c r="H382" s="4" t="s">
        <v>261</v>
      </c>
      <c r="I382" s="4">
        <v>93081</v>
      </c>
      <c r="J382" s="4" t="s">
        <v>68</v>
      </c>
      <c r="K382" s="4" t="s">
        <v>1168</v>
      </c>
      <c r="L382" s="4" t="s">
        <v>24</v>
      </c>
      <c r="M382" s="5" t="str">
        <f>IF([1]Employees!$I382&gt;=90000, "High", "Low")</f>
        <v>High</v>
      </c>
      <c r="N382" s="6" t="str" cm="1">
        <f t="array" ref="N382">_xlfn.IFS([1]Employees!$I382&gt;=90000, "High", [1]Employees!$I382&gt;=50000, "Medium", [1]Employees!$I382&lt;50000, "Low")</f>
        <v>High</v>
      </c>
      <c r="O382" s="15" t="str">
        <f>IF([1]Employees!$I382&gt;=90000, "High", IF([1]Employees!$I382&gt;=50000, "Medium", "Low"))</f>
        <v>High</v>
      </c>
    </row>
    <row r="383" spans="1:15" x14ac:dyDescent="0.3">
      <c r="A383" s="4" t="s">
        <v>1169</v>
      </c>
      <c r="B383" s="4" t="s">
        <v>41</v>
      </c>
      <c r="C383" s="4" t="s">
        <v>66</v>
      </c>
      <c r="D383" s="4" t="s">
        <v>18</v>
      </c>
      <c r="E383" s="4">
        <v>57</v>
      </c>
      <c r="F383" s="4" t="s">
        <v>28</v>
      </c>
      <c r="G383" s="4" t="s">
        <v>35</v>
      </c>
      <c r="H383" s="4" t="s">
        <v>1170</v>
      </c>
      <c r="I383" s="4">
        <v>91007</v>
      </c>
      <c r="J383" s="4" t="s">
        <v>63</v>
      </c>
      <c r="K383" s="4" t="s">
        <v>1171</v>
      </c>
      <c r="L383" s="4" t="s">
        <v>39</v>
      </c>
      <c r="M383" s="5" t="str">
        <f>IF([1]Employees!$I383&gt;=90000, "High", "Low")</f>
        <v>High</v>
      </c>
      <c r="N383" s="6" t="str" cm="1">
        <f t="array" ref="N383">_xlfn.IFS([1]Employees!$I383&gt;=90000, "High", [1]Employees!$I383&gt;=50000, "Medium", [1]Employees!$I383&lt;50000, "Low")</f>
        <v>High</v>
      </c>
      <c r="O383" s="15" t="str">
        <f>IF([1]Employees!$I383&gt;=90000, "High", IF([1]Employees!$I383&gt;=50000, "Medium", "Low"))</f>
        <v>High</v>
      </c>
    </row>
    <row r="384" spans="1:15" x14ac:dyDescent="0.3">
      <c r="A384" s="4" t="s">
        <v>1172</v>
      </c>
      <c r="B384" s="4" t="s">
        <v>47</v>
      </c>
      <c r="C384" s="4" t="s">
        <v>133</v>
      </c>
      <c r="D384" s="4" t="s">
        <v>18</v>
      </c>
      <c r="E384" s="4">
        <v>32</v>
      </c>
      <c r="F384" s="4" t="s">
        <v>28</v>
      </c>
      <c r="G384" s="4" t="s">
        <v>43</v>
      </c>
      <c r="H384" s="4" t="s">
        <v>1173</v>
      </c>
      <c r="I384" s="4">
        <v>88127</v>
      </c>
      <c r="J384" s="4" t="s">
        <v>68</v>
      </c>
      <c r="K384" s="4" t="s">
        <v>1174</v>
      </c>
      <c r="L384" s="4" t="s">
        <v>24</v>
      </c>
      <c r="M384" s="5" t="str">
        <f>IF([1]Employees!$I384&gt;=90000, "High", "Low")</f>
        <v>Low</v>
      </c>
      <c r="N384" s="6" t="str" cm="1">
        <f t="array" ref="N384">_xlfn.IFS([1]Employees!$I384&gt;=90000, "High", [1]Employees!$I384&gt;=50000, "Medium", [1]Employees!$I384&lt;50000, "Low")</f>
        <v>Medium</v>
      </c>
      <c r="O384" s="15" t="str">
        <f>IF([1]Employees!$I384&gt;=90000, "High", IF([1]Employees!$I384&gt;=50000, "Medium", "Low"))</f>
        <v>Medium</v>
      </c>
    </row>
    <row r="385" spans="1:15" x14ac:dyDescent="0.3">
      <c r="A385" s="4" t="s">
        <v>1175</v>
      </c>
      <c r="B385" s="4" t="s">
        <v>33</v>
      </c>
      <c r="C385" s="4" t="s">
        <v>81</v>
      </c>
      <c r="D385" s="4" t="s">
        <v>27</v>
      </c>
      <c r="E385" s="4">
        <v>34</v>
      </c>
      <c r="F385" s="4" t="s">
        <v>19</v>
      </c>
      <c r="G385" s="4" t="s">
        <v>29</v>
      </c>
      <c r="H385" s="4" t="s">
        <v>1176</v>
      </c>
      <c r="I385" s="4">
        <v>70318</v>
      </c>
      <c r="J385" s="4" t="s">
        <v>22</v>
      </c>
      <c r="K385" s="4" t="s">
        <v>1177</v>
      </c>
      <c r="L385" s="4" t="s">
        <v>39</v>
      </c>
      <c r="M385" s="5" t="str">
        <f>IF([1]Employees!$I385&gt;=90000, "High", "Low")</f>
        <v>Low</v>
      </c>
      <c r="N385" s="6" t="str" cm="1">
        <f t="array" ref="N385">_xlfn.IFS([1]Employees!$I385&gt;=90000, "High", [1]Employees!$I385&gt;=50000, "Medium", [1]Employees!$I385&lt;50000, "Low")</f>
        <v>Medium</v>
      </c>
      <c r="O385" s="15" t="str">
        <f>IF([1]Employees!$I385&gt;=90000, "High", IF([1]Employees!$I385&gt;=50000, "Medium", "Low"))</f>
        <v>Medium</v>
      </c>
    </row>
    <row r="386" spans="1:15" x14ac:dyDescent="0.3">
      <c r="A386" s="4" t="s">
        <v>1178</v>
      </c>
      <c r="B386" s="4" t="s">
        <v>33</v>
      </c>
      <c r="C386" s="4" t="s">
        <v>98</v>
      </c>
      <c r="D386" s="4" t="s">
        <v>18</v>
      </c>
      <c r="E386" s="4">
        <v>31</v>
      </c>
      <c r="F386" s="4" t="s">
        <v>34</v>
      </c>
      <c r="G386" s="4" t="s">
        <v>111</v>
      </c>
      <c r="H386" s="4" t="s">
        <v>569</v>
      </c>
      <c r="I386" s="4">
        <v>47884</v>
      </c>
      <c r="J386" s="4" t="s">
        <v>37</v>
      </c>
      <c r="K386" s="4" t="s">
        <v>1179</v>
      </c>
      <c r="L386" s="4" t="s">
        <v>24</v>
      </c>
      <c r="M386" s="5" t="str">
        <f>IF([1]Employees!$I386&gt;=90000, "High", "Low")</f>
        <v>Low</v>
      </c>
      <c r="N386" s="6" t="str" cm="1">
        <f t="array" ref="N386">_xlfn.IFS([1]Employees!$I386&gt;=90000, "High", [1]Employees!$I386&gt;=50000, "Medium", [1]Employees!$I386&lt;50000, "Low")</f>
        <v>Low</v>
      </c>
      <c r="O386" s="15" t="str">
        <f>IF([1]Employees!$I386&gt;=90000, "High", IF([1]Employees!$I386&gt;=50000, "Medium", "Low"))</f>
        <v>Low</v>
      </c>
    </row>
    <row r="387" spans="1:15" x14ac:dyDescent="0.3">
      <c r="A387" s="4" t="s">
        <v>1180</v>
      </c>
      <c r="B387" s="4" t="s">
        <v>146</v>
      </c>
      <c r="C387" s="4" t="s">
        <v>17</v>
      </c>
      <c r="D387" s="4" t="s">
        <v>18</v>
      </c>
      <c r="E387" s="4">
        <v>48</v>
      </c>
      <c r="F387" s="4" t="s">
        <v>53</v>
      </c>
      <c r="G387" s="4" t="s">
        <v>111</v>
      </c>
      <c r="H387" s="4" t="s">
        <v>1181</v>
      </c>
      <c r="I387" s="4">
        <v>71987</v>
      </c>
      <c r="J387" s="4" t="s">
        <v>37</v>
      </c>
      <c r="K387" s="4" t="s">
        <v>1182</v>
      </c>
      <c r="L387" s="4" t="s">
        <v>39</v>
      </c>
      <c r="M387" s="5" t="str">
        <f>IF([1]Employees!$I387&gt;=90000, "High", "Low")</f>
        <v>Low</v>
      </c>
      <c r="N387" s="6" t="str" cm="1">
        <f t="array" ref="N387">_xlfn.IFS([1]Employees!$I387&gt;=90000, "High", [1]Employees!$I387&gt;=50000, "Medium", [1]Employees!$I387&lt;50000, "Low")</f>
        <v>Medium</v>
      </c>
      <c r="O387" s="15" t="str">
        <f>IF([1]Employees!$I387&gt;=90000, "High", IF([1]Employees!$I387&gt;=50000, "Medium", "Low"))</f>
        <v>Medium</v>
      </c>
    </row>
    <row r="388" spans="1:15" x14ac:dyDescent="0.3">
      <c r="A388" s="4" t="s">
        <v>1183</v>
      </c>
      <c r="B388" s="4" t="s">
        <v>61</v>
      </c>
      <c r="C388" s="4" t="s">
        <v>133</v>
      </c>
      <c r="D388" s="4" t="s">
        <v>27</v>
      </c>
      <c r="E388" s="4">
        <v>52</v>
      </c>
      <c r="F388" s="4" t="s">
        <v>42</v>
      </c>
      <c r="G388" s="4" t="s">
        <v>43</v>
      </c>
      <c r="H388" s="4" t="s">
        <v>1184</v>
      </c>
      <c r="I388" s="4">
        <v>108773</v>
      </c>
      <c r="J388" s="4" t="s">
        <v>63</v>
      </c>
      <c r="K388" s="4" t="s">
        <v>1185</v>
      </c>
      <c r="L388" s="4" t="s">
        <v>39</v>
      </c>
      <c r="M388" s="5" t="str">
        <f>IF([1]Employees!$I388&gt;=90000, "High", "Low")</f>
        <v>High</v>
      </c>
      <c r="N388" s="6" t="str" cm="1">
        <f t="array" ref="N388">_xlfn.IFS([1]Employees!$I388&gt;=90000, "High", [1]Employees!$I388&gt;=50000, "Medium", [1]Employees!$I388&lt;50000, "Low")</f>
        <v>High</v>
      </c>
      <c r="O388" s="15" t="str">
        <f>IF([1]Employees!$I388&gt;=90000, "High", IF([1]Employees!$I388&gt;=50000, "Medium", "Low"))</f>
        <v>High</v>
      </c>
    </row>
    <row r="389" spans="1:15" x14ac:dyDescent="0.3">
      <c r="A389" s="4" t="s">
        <v>1186</v>
      </c>
      <c r="B389" s="4" t="s">
        <v>74</v>
      </c>
      <c r="C389" s="4" t="s">
        <v>133</v>
      </c>
      <c r="D389" s="4" t="s">
        <v>18</v>
      </c>
      <c r="E389" s="4">
        <v>58</v>
      </c>
      <c r="F389" s="4" t="s">
        <v>28</v>
      </c>
      <c r="G389" s="4" t="s">
        <v>43</v>
      </c>
      <c r="H389" s="4" t="s">
        <v>1187</v>
      </c>
      <c r="I389" s="4">
        <v>115133</v>
      </c>
      <c r="J389" s="4" t="s">
        <v>37</v>
      </c>
      <c r="K389" s="4" t="s">
        <v>1188</v>
      </c>
      <c r="L389" s="4" t="s">
        <v>24</v>
      </c>
      <c r="M389" s="5" t="str">
        <f>IF([1]Employees!$I389&gt;=90000, "High", "Low")</f>
        <v>High</v>
      </c>
      <c r="N389" s="6" t="str" cm="1">
        <f t="array" ref="N389">_xlfn.IFS([1]Employees!$I389&gt;=90000, "High", [1]Employees!$I389&gt;=50000, "Medium", [1]Employees!$I389&lt;50000, "Low")</f>
        <v>High</v>
      </c>
      <c r="O389" s="15" t="str">
        <f>IF([1]Employees!$I389&gt;=90000, "High", IF([1]Employees!$I389&gt;=50000, "Medium", "Low"))</f>
        <v>High</v>
      </c>
    </row>
    <row r="390" spans="1:15" x14ac:dyDescent="0.3">
      <c r="A390" s="4" t="s">
        <v>1189</v>
      </c>
      <c r="B390" s="4" t="s">
        <v>97</v>
      </c>
      <c r="C390" s="4" t="s">
        <v>168</v>
      </c>
      <c r="D390" s="4" t="s">
        <v>27</v>
      </c>
      <c r="E390" s="4">
        <v>50</v>
      </c>
      <c r="F390" s="4" t="s">
        <v>19</v>
      </c>
      <c r="G390" s="4" t="s">
        <v>29</v>
      </c>
      <c r="H390" s="4" t="s">
        <v>1190</v>
      </c>
      <c r="I390" s="4">
        <v>44417</v>
      </c>
      <c r="J390" s="4" t="s">
        <v>83</v>
      </c>
      <c r="K390" s="4" t="s">
        <v>1191</v>
      </c>
      <c r="L390" s="4" t="s">
        <v>39</v>
      </c>
      <c r="M390" s="5" t="str">
        <f>IF([1]Employees!$I390&gt;=90000, "High", "Low")</f>
        <v>Low</v>
      </c>
      <c r="N390" s="6" t="str" cm="1">
        <f t="array" ref="N390">_xlfn.IFS([1]Employees!$I390&gt;=90000, "High", [1]Employees!$I390&gt;=50000, "Medium", [1]Employees!$I390&lt;50000, "Low")</f>
        <v>Low</v>
      </c>
      <c r="O390" s="15" t="str">
        <f>IF([1]Employees!$I390&gt;=90000, "High", IF([1]Employees!$I390&gt;=50000, "Medium", "Low"))</f>
        <v>Low</v>
      </c>
    </row>
    <row r="391" spans="1:15" x14ac:dyDescent="0.3">
      <c r="A391" s="4" t="s">
        <v>1192</v>
      </c>
      <c r="B391" s="4" t="s">
        <v>33</v>
      </c>
      <c r="C391" s="4" t="s">
        <v>81</v>
      </c>
      <c r="D391" s="4" t="s">
        <v>27</v>
      </c>
      <c r="E391" s="4">
        <v>46</v>
      </c>
      <c r="F391" s="4" t="s">
        <v>34</v>
      </c>
      <c r="G391" s="4" t="s">
        <v>20</v>
      </c>
      <c r="H391" s="4" t="s">
        <v>1193</v>
      </c>
      <c r="I391" s="4">
        <v>107012</v>
      </c>
      <c r="J391" s="4" t="s">
        <v>68</v>
      </c>
      <c r="K391" s="4" t="s">
        <v>1194</v>
      </c>
      <c r="L391" s="4" t="s">
        <v>24</v>
      </c>
      <c r="M391" s="5" t="str">
        <f>IF([1]Employees!$I391&gt;=90000, "High", "Low")</f>
        <v>High</v>
      </c>
      <c r="N391" s="6" t="str" cm="1">
        <f t="array" ref="N391">_xlfn.IFS([1]Employees!$I391&gt;=90000, "High", [1]Employees!$I391&gt;=50000, "Medium", [1]Employees!$I391&lt;50000, "Low")</f>
        <v>High</v>
      </c>
      <c r="O391" s="15" t="str">
        <f>IF([1]Employees!$I391&gt;=90000, "High", IF([1]Employees!$I391&gt;=50000, "Medium", "Low"))</f>
        <v>High</v>
      </c>
    </row>
    <row r="392" spans="1:15" x14ac:dyDescent="0.3">
      <c r="A392" s="4" t="s">
        <v>1195</v>
      </c>
      <c r="B392" s="4" t="s">
        <v>52</v>
      </c>
      <c r="C392" s="4" t="s">
        <v>81</v>
      </c>
      <c r="D392" s="4" t="s">
        <v>18</v>
      </c>
      <c r="E392" s="4">
        <v>23</v>
      </c>
      <c r="F392" s="4" t="s">
        <v>53</v>
      </c>
      <c r="G392" s="4" t="s">
        <v>29</v>
      </c>
      <c r="H392" s="4" t="s">
        <v>1196</v>
      </c>
      <c r="I392" s="4">
        <v>78597</v>
      </c>
      <c r="J392" s="4" t="s">
        <v>37</v>
      </c>
      <c r="K392" s="4" t="s">
        <v>1197</v>
      </c>
      <c r="L392" s="4" t="s">
        <v>24</v>
      </c>
      <c r="M392" s="5" t="str">
        <f>IF([1]Employees!$I392&gt;=90000, "High", "Low")</f>
        <v>Low</v>
      </c>
      <c r="N392" s="6" t="str" cm="1">
        <f t="array" ref="N392">_xlfn.IFS([1]Employees!$I392&gt;=90000, "High", [1]Employees!$I392&gt;=50000, "Medium", [1]Employees!$I392&lt;50000, "Low")</f>
        <v>Medium</v>
      </c>
      <c r="O392" s="15" t="str">
        <f>IF([1]Employees!$I392&gt;=90000, "High", IF([1]Employees!$I392&gt;=50000, "Medium", "Low"))</f>
        <v>Medium</v>
      </c>
    </row>
    <row r="393" spans="1:15" x14ac:dyDescent="0.3">
      <c r="A393" s="4" t="s">
        <v>1198</v>
      </c>
      <c r="B393" s="4" t="s">
        <v>61</v>
      </c>
      <c r="C393" s="4" t="s">
        <v>93</v>
      </c>
      <c r="D393" s="4" t="s">
        <v>18</v>
      </c>
      <c r="E393" s="4">
        <v>44</v>
      </c>
      <c r="F393" s="4" t="s">
        <v>28</v>
      </c>
      <c r="G393" s="4" t="s">
        <v>111</v>
      </c>
      <c r="H393" s="4" t="s">
        <v>1199</v>
      </c>
      <c r="I393" s="4">
        <v>77085</v>
      </c>
      <c r="J393" s="4" t="s">
        <v>83</v>
      </c>
      <c r="K393" s="4" t="s">
        <v>1200</v>
      </c>
      <c r="L393" s="4" t="s">
        <v>39</v>
      </c>
      <c r="M393" s="5" t="str">
        <f>IF([1]Employees!$I393&gt;=90000, "High", "Low")</f>
        <v>Low</v>
      </c>
      <c r="N393" s="6" t="str" cm="1">
        <f t="array" ref="N393">_xlfn.IFS([1]Employees!$I393&gt;=90000, "High", [1]Employees!$I393&gt;=50000, "Medium", [1]Employees!$I393&lt;50000, "Low")</f>
        <v>Medium</v>
      </c>
      <c r="O393" s="15" t="str">
        <f>IF([1]Employees!$I393&gt;=90000, "High", IF([1]Employees!$I393&gt;=50000, "Medium", "Low"))</f>
        <v>Medium</v>
      </c>
    </row>
    <row r="394" spans="1:15" x14ac:dyDescent="0.3">
      <c r="A394" s="4" t="s">
        <v>1201</v>
      </c>
      <c r="B394" s="4" t="s">
        <v>47</v>
      </c>
      <c r="C394" s="4" t="s">
        <v>93</v>
      </c>
      <c r="D394" s="4" t="s">
        <v>27</v>
      </c>
      <c r="E394" s="4">
        <v>52</v>
      </c>
      <c r="F394" s="4" t="s">
        <v>53</v>
      </c>
      <c r="G394" s="4" t="s">
        <v>111</v>
      </c>
      <c r="H394" s="4" t="s">
        <v>1202</v>
      </c>
      <c r="I394" s="4">
        <v>98031</v>
      </c>
      <c r="J394" s="4" t="s">
        <v>63</v>
      </c>
      <c r="K394" s="4" t="s">
        <v>1203</v>
      </c>
      <c r="L394" s="4" t="s">
        <v>39</v>
      </c>
      <c r="M394" s="5" t="str">
        <f>IF([1]Employees!$I394&gt;=90000, "High", "Low")</f>
        <v>High</v>
      </c>
      <c r="N394" s="6" t="str" cm="1">
        <f t="array" ref="N394">_xlfn.IFS([1]Employees!$I394&gt;=90000, "High", [1]Employees!$I394&gt;=50000, "Medium", [1]Employees!$I394&lt;50000, "Low")</f>
        <v>High</v>
      </c>
      <c r="O394" s="15" t="str">
        <f>IF([1]Employees!$I394&gt;=90000, "High", IF([1]Employees!$I394&gt;=50000, "Medium", "Low"))</f>
        <v>High</v>
      </c>
    </row>
    <row r="395" spans="1:15" x14ac:dyDescent="0.3">
      <c r="A395" s="4" t="s">
        <v>1204</v>
      </c>
      <c r="B395" s="4" t="s">
        <v>57</v>
      </c>
      <c r="C395" s="4" t="s">
        <v>86</v>
      </c>
      <c r="D395" s="4" t="s">
        <v>27</v>
      </c>
      <c r="E395" s="4">
        <v>47</v>
      </c>
      <c r="F395" s="4" t="s">
        <v>34</v>
      </c>
      <c r="G395" s="4" t="s">
        <v>29</v>
      </c>
      <c r="H395" s="4" t="s">
        <v>1205</v>
      </c>
      <c r="I395" s="4">
        <v>59479</v>
      </c>
      <c r="J395" s="4" t="s">
        <v>37</v>
      </c>
      <c r="K395" s="4" t="s">
        <v>1206</v>
      </c>
      <c r="L395" s="4" t="s">
        <v>39</v>
      </c>
      <c r="M395" s="5" t="str">
        <f>IF([1]Employees!$I395&gt;=90000, "High", "Low")</f>
        <v>Low</v>
      </c>
      <c r="N395" s="6" t="str" cm="1">
        <f t="array" ref="N395">_xlfn.IFS([1]Employees!$I395&gt;=90000, "High", [1]Employees!$I395&gt;=50000, "Medium", [1]Employees!$I395&lt;50000, "Low")</f>
        <v>Medium</v>
      </c>
      <c r="O395" s="15" t="str">
        <f>IF([1]Employees!$I395&gt;=90000, "High", IF([1]Employees!$I395&gt;=50000, "Medium", "Low"))</f>
        <v>Medium</v>
      </c>
    </row>
    <row r="396" spans="1:15" x14ac:dyDescent="0.3">
      <c r="A396" s="4" t="s">
        <v>1207</v>
      </c>
      <c r="B396" s="4" t="s">
        <v>52</v>
      </c>
      <c r="C396" s="4" t="s">
        <v>17</v>
      </c>
      <c r="D396" s="4" t="s">
        <v>27</v>
      </c>
      <c r="E396" s="4">
        <v>25</v>
      </c>
      <c r="F396" s="4" t="s">
        <v>53</v>
      </c>
      <c r="G396" s="4" t="s">
        <v>43</v>
      </c>
      <c r="H396" s="4" t="s">
        <v>1208</v>
      </c>
      <c r="I396" s="4">
        <v>82566</v>
      </c>
      <c r="J396" s="4" t="s">
        <v>22</v>
      </c>
      <c r="K396" s="4" t="s">
        <v>1209</v>
      </c>
      <c r="L396" s="4" t="s">
        <v>24</v>
      </c>
      <c r="M396" s="5" t="str">
        <f>IF([1]Employees!$I396&gt;=90000, "High", "Low")</f>
        <v>Low</v>
      </c>
      <c r="N396" s="6" t="str" cm="1">
        <f t="array" ref="N396">_xlfn.IFS([1]Employees!$I396&gt;=90000, "High", [1]Employees!$I396&gt;=50000, "Medium", [1]Employees!$I396&lt;50000, "Low")</f>
        <v>Medium</v>
      </c>
      <c r="O396" s="15" t="str">
        <f>IF([1]Employees!$I396&gt;=90000, "High", IF([1]Employees!$I396&gt;=50000, "Medium", "Low"))</f>
        <v>Medium</v>
      </c>
    </row>
    <row r="397" spans="1:15" x14ac:dyDescent="0.3">
      <c r="A397" s="4" t="s">
        <v>1210</v>
      </c>
      <c r="B397" s="4" t="s">
        <v>33</v>
      </c>
      <c r="C397" s="4" t="s">
        <v>168</v>
      </c>
      <c r="D397" s="4" t="s">
        <v>18</v>
      </c>
      <c r="E397" s="4">
        <v>37</v>
      </c>
      <c r="F397" s="4" t="s">
        <v>53</v>
      </c>
      <c r="G397" s="4" t="s">
        <v>43</v>
      </c>
      <c r="H397" s="4" t="s">
        <v>1211</v>
      </c>
      <c r="I397" s="4">
        <v>90050</v>
      </c>
      <c r="J397" s="4" t="s">
        <v>68</v>
      </c>
      <c r="K397" s="4" t="s">
        <v>1212</v>
      </c>
      <c r="L397" s="4" t="s">
        <v>24</v>
      </c>
      <c r="M397" s="5" t="str">
        <f>IF([1]Employees!$I397&gt;=90000, "High", "Low")</f>
        <v>High</v>
      </c>
      <c r="N397" s="6" t="str" cm="1">
        <f t="array" ref="N397">_xlfn.IFS([1]Employees!$I397&gt;=90000, "High", [1]Employees!$I397&gt;=50000, "Medium", [1]Employees!$I397&lt;50000, "Low")</f>
        <v>High</v>
      </c>
      <c r="O397" s="15" t="str">
        <f>IF([1]Employees!$I397&gt;=90000, "High", IF([1]Employees!$I397&gt;=50000, "Medium", "Low"))</f>
        <v>High</v>
      </c>
    </row>
    <row r="398" spans="1:15" x14ac:dyDescent="0.3">
      <c r="A398" s="4" t="s">
        <v>1213</v>
      </c>
      <c r="B398" s="4" t="s">
        <v>41</v>
      </c>
      <c r="C398" s="4" t="s">
        <v>133</v>
      </c>
      <c r="D398" s="4" t="s">
        <v>27</v>
      </c>
      <c r="E398" s="4">
        <v>54</v>
      </c>
      <c r="F398" s="4" t="s">
        <v>19</v>
      </c>
      <c r="G398" s="4" t="s">
        <v>29</v>
      </c>
      <c r="H398" s="4" t="s">
        <v>1214</v>
      </c>
      <c r="I398" s="4">
        <v>56447</v>
      </c>
      <c r="J398" s="4" t="s">
        <v>22</v>
      </c>
      <c r="K398" s="4" t="s">
        <v>1215</v>
      </c>
      <c r="L398" s="4" t="s">
        <v>39</v>
      </c>
      <c r="M398" s="5" t="str">
        <f>IF([1]Employees!$I398&gt;=90000, "High", "Low")</f>
        <v>Low</v>
      </c>
      <c r="N398" s="6" t="str" cm="1">
        <f t="array" ref="N398">_xlfn.IFS([1]Employees!$I398&gt;=90000, "High", [1]Employees!$I398&gt;=50000, "Medium", [1]Employees!$I398&lt;50000, "Low")</f>
        <v>Medium</v>
      </c>
      <c r="O398" s="15" t="str">
        <f>IF([1]Employees!$I398&gt;=90000, "High", IF([1]Employees!$I398&gt;=50000, "Medium", "Low"))</f>
        <v>Medium</v>
      </c>
    </row>
    <row r="399" spans="1:15" x14ac:dyDescent="0.3">
      <c r="A399" s="4" t="s">
        <v>1216</v>
      </c>
      <c r="B399" s="4" t="s">
        <v>74</v>
      </c>
      <c r="C399" s="4" t="s">
        <v>168</v>
      </c>
      <c r="D399" s="4" t="s">
        <v>27</v>
      </c>
      <c r="E399" s="4">
        <v>47</v>
      </c>
      <c r="F399" s="4" t="s">
        <v>34</v>
      </c>
      <c r="G399" s="4" t="s">
        <v>20</v>
      </c>
      <c r="H399" s="4" t="s">
        <v>1217</v>
      </c>
      <c r="I399" s="4">
        <v>76082</v>
      </c>
      <c r="J399" s="4" t="s">
        <v>68</v>
      </c>
      <c r="K399" s="4" t="s">
        <v>1218</v>
      </c>
      <c r="L399" s="4" t="s">
        <v>39</v>
      </c>
      <c r="M399" s="5" t="str">
        <f>IF([1]Employees!$I399&gt;=90000, "High", "Low")</f>
        <v>Low</v>
      </c>
      <c r="N399" s="6" t="str" cm="1">
        <f t="array" ref="N399">_xlfn.IFS([1]Employees!$I399&gt;=90000, "High", [1]Employees!$I399&gt;=50000, "Medium", [1]Employees!$I399&lt;50000, "Low")</f>
        <v>Medium</v>
      </c>
      <c r="O399" s="15" t="str">
        <f>IF([1]Employees!$I399&gt;=90000, "High", IF([1]Employees!$I399&gt;=50000, "Medium", "Low"))</f>
        <v>Medium</v>
      </c>
    </row>
    <row r="400" spans="1:15" x14ac:dyDescent="0.3">
      <c r="A400" s="4" t="s">
        <v>1219</v>
      </c>
      <c r="B400" s="4" t="s">
        <v>47</v>
      </c>
      <c r="C400" s="4" t="s">
        <v>48</v>
      </c>
      <c r="D400" s="4" t="s">
        <v>27</v>
      </c>
      <c r="E400" s="4">
        <v>28</v>
      </c>
      <c r="F400" s="4" t="s">
        <v>53</v>
      </c>
      <c r="G400" s="4" t="s">
        <v>29</v>
      </c>
      <c r="H400" s="4" t="s">
        <v>624</v>
      </c>
      <c r="I400" s="4">
        <v>98535</v>
      </c>
      <c r="J400" s="4" t="s">
        <v>63</v>
      </c>
      <c r="K400" s="4" t="s">
        <v>1220</v>
      </c>
      <c r="L400" s="4" t="s">
        <v>24</v>
      </c>
      <c r="M400" s="5" t="str">
        <f>IF([1]Employees!$I400&gt;=90000, "High", "Low")</f>
        <v>High</v>
      </c>
      <c r="N400" s="6" t="str" cm="1">
        <f t="array" ref="N400">_xlfn.IFS([1]Employees!$I400&gt;=90000, "High", [1]Employees!$I400&gt;=50000, "Medium", [1]Employees!$I400&lt;50000, "Low")</f>
        <v>High</v>
      </c>
      <c r="O400" s="15" t="str">
        <f>IF([1]Employees!$I400&gt;=90000, "High", IF([1]Employees!$I400&gt;=50000, "Medium", "Low"))</f>
        <v>High</v>
      </c>
    </row>
    <row r="401" spans="1:15" x14ac:dyDescent="0.3">
      <c r="A401" s="4" t="s">
        <v>1221</v>
      </c>
      <c r="B401" s="4" t="s">
        <v>97</v>
      </c>
      <c r="C401" s="4" t="s">
        <v>133</v>
      </c>
      <c r="D401" s="4" t="s">
        <v>18</v>
      </c>
      <c r="E401" s="4">
        <v>39</v>
      </c>
      <c r="F401" s="4" t="s">
        <v>19</v>
      </c>
      <c r="G401" s="4" t="s">
        <v>111</v>
      </c>
      <c r="H401" s="4" t="s">
        <v>1222</v>
      </c>
      <c r="I401" s="4">
        <v>44551</v>
      </c>
      <c r="J401" s="4" t="s">
        <v>37</v>
      </c>
      <c r="K401" s="4" t="s">
        <v>1223</v>
      </c>
      <c r="L401" s="4" t="s">
        <v>24</v>
      </c>
      <c r="M401" s="5" t="str">
        <f>IF([1]Employees!$I401&gt;=90000, "High", "Low")</f>
        <v>Low</v>
      </c>
      <c r="N401" s="6" t="str" cm="1">
        <f t="array" ref="N401">_xlfn.IFS([1]Employees!$I401&gt;=90000, "High", [1]Employees!$I401&gt;=50000, "Medium", [1]Employees!$I401&lt;50000, "Low")</f>
        <v>Low</v>
      </c>
      <c r="O401" s="15" t="str">
        <f>IF([1]Employees!$I401&gt;=90000, "High", IF([1]Employees!$I401&gt;=50000, "Medium", "Low"))</f>
        <v>Low</v>
      </c>
    </row>
    <row r="402" spans="1:15" x14ac:dyDescent="0.3">
      <c r="A402" s="4" t="s">
        <v>1224</v>
      </c>
      <c r="B402" s="4" t="s">
        <v>74</v>
      </c>
      <c r="C402" s="4" t="s">
        <v>26</v>
      </c>
      <c r="D402" s="4" t="s">
        <v>18</v>
      </c>
      <c r="E402" s="4">
        <v>40</v>
      </c>
      <c r="F402" s="4" t="s">
        <v>53</v>
      </c>
      <c r="G402" s="4" t="s">
        <v>35</v>
      </c>
      <c r="H402" s="4" t="s">
        <v>1225</v>
      </c>
      <c r="I402" s="4">
        <v>111797</v>
      </c>
      <c r="J402" s="4" t="s">
        <v>63</v>
      </c>
      <c r="K402" s="4" t="s">
        <v>1226</v>
      </c>
      <c r="L402" s="4" t="s">
        <v>39</v>
      </c>
      <c r="M402" s="5" t="str">
        <f>IF([1]Employees!$I402&gt;=90000, "High", "Low")</f>
        <v>High</v>
      </c>
      <c r="N402" s="6" t="str" cm="1">
        <f t="array" ref="N402">_xlfn.IFS([1]Employees!$I402&gt;=90000, "High", [1]Employees!$I402&gt;=50000, "Medium", [1]Employees!$I402&lt;50000, "Low")</f>
        <v>High</v>
      </c>
      <c r="O402" s="15" t="str">
        <f>IF([1]Employees!$I402&gt;=90000, "High", IF([1]Employees!$I402&gt;=50000, "Medium", "Low"))</f>
        <v>High</v>
      </c>
    </row>
    <row r="403" spans="1:15" x14ac:dyDescent="0.3">
      <c r="A403" s="4" t="s">
        <v>1227</v>
      </c>
      <c r="B403" s="4" t="s">
        <v>74</v>
      </c>
      <c r="C403" s="4" t="s">
        <v>93</v>
      </c>
      <c r="D403" s="4" t="s">
        <v>27</v>
      </c>
      <c r="E403" s="4">
        <v>43</v>
      </c>
      <c r="F403" s="4" t="s">
        <v>19</v>
      </c>
      <c r="G403" s="4" t="s">
        <v>29</v>
      </c>
      <c r="H403" s="4" t="s">
        <v>1228</v>
      </c>
      <c r="I403" s="4">
        <v>40238</v>
      </c>
      <c r="J403" s="4" t="s">
        <v>22</v>
      </c>
      <c r="K403" s="4" t="s">
        <v>1229</v>
      </c>
      <c r="L403" s="4" t="s">
        <v>24</v>
      </c>
      <c r="M403" s="5" t="str">
        <f>IF([1]Employees!$I403&gt;=90000, "High", "Low")</f>
        <v>Low</v>
      </c>
      <c r="N403" s="6" t="str" cm="1">
        <f t="array" ref="N403">_xlfn.IFS([1]Employees!$I403&gt;=90000, "High", [1]Employees!$I403&gt;=50000, "Medium", [1]Employees!$I403&lt;50000, "Low")</f>
        <v>Low</v>
      </c>
      <c r="O403" s="15" t="str">
        <f>IF([1]Employees!$I403&gt;=90000, "High", IF([1]Employees!$I403&gt;=50000, "Medium", "Low"))</f>
        <v>Low</v>
      </c>
    </row>
    <row r="404" spans="1:15" x14ac:dyDescent="0.3">
      <c r="A404" s="4" t="s">
        <v>1230</v>
      </c>
      <c r="B404" s="4" t="s">
        <v>74</v>
      </c>
      <c r="C404" s="4" t="s">
        <v>168</v>
      </c>
      <c r="D404" s="4" t="s">
        <v>18</v>
      </c>
      <c r="E404" s="4">
        <v>55</v>
      </c>
      <c r="F404" s="4" t="s">
        <v>34</v>
      </c>
      <c r="G404" s="4" t="s">
        <v>20</v>
      </c>
      <c r="H404" s="4" t="s">
        <v>1231</v>
      </c>
      <c r="I404" s="4">
        <v>70077</v>
      </c>
      <c r="J404" s="4" t="s">
        <v>37</v>
      </c>
      <c r="K404" s="4" t="s">
        <v>1232</v>
      </c>
      <c r="L404" s="4" t="s">
        <v>24</v>
      </c>
      <c r="M404" s="5" t="str">
        <f>IF([1]Employees!$I404&gt;=90000, "High", "Low")</f>
        <v>Low</v>
      </c>
      <c r="N404" s="6" t="str" cm="1">
        <f t="array" ref="N404">_xlfn.IFS([1]Employees!$I404&gt;=90000, "High", [1]Employees!$I404&gt;=50000, "Medium", [1]Employees!$I404&lt;50000, "Low")</f>
        <v>Medium</v>
      </c>
      <c r="O404" s="15" t="str">
        <f>IF([1]Employees!$I404&gt;=90000, "High", IF([1]Employees!$I404&gt;=50000, "Medium", "Low"))</f>
        <v>Medium</v>
      </c>
    </row>
    <row r="405" spans="1:15" x14ac:dyDescent="0.3">
      <c r="A405" s="4" t="s">
        <v>1233</v>
      </c>
      <c r="B405" s="4" t="s">
        <v>47</v>
      </c>
      <c r="C405" s="4" t="s">
        <v>17</v>
      </c>
      <c r="D405" s="4" t="s">
        <v>27</v>
      </c>
      <c r="E405" s="4">
        <v>57</v>
      </c>
      <c r="F405" s="4" t="s">
        <v>19</v>
      </c>
      <c r="G405" s="4" t="s">
        <v>20</v>
      </c>
      <c r="H405" s="4" t="s">
        <v>1234</v>
      </c>
      <c r="I405" s="4">
        <v>107382</v>
      </c>
      <c r="J405" s="4" t="s">
        <v>22</v>
      </c>
      <c r="K405" s="4" t="s">
        <v>1235</v>
      </c>
      <c r="L405" s="4" t="s">
        <v>39</v>
      </c>
      <c r="M405" s="5" t="str">
        <f>IF([1]Employees!$I405&gt;=90000, "High", "Low")</f>
        <v>High</v>
      </c>
      <c r="N405" s="6" t="str" cm="1">
        <f t="array" ref="N405">_xlfn.IFS([1]Employees!$I405&gt;=90000, "High", [1]Employees!$I405&gt;=50000, "Medium", [1]Employees!$I405&lt;50000, "Low")</f>
        <v>High</v>
      </c>
      <c r="O405" s="15" t="str">
        <f>IF([1]Employees!$I405&gt;=90000, "High", IF([1]Employees!$I405&gt;=50000, "Medium", "Low"))</f>
        <v>High</v>
      </c>
    </row>
    <row r="406" spans="1:15" x14ac:dyDescent="0.3">
      <c r="A406" s="4" t="s">
        <v>1236</v>
      </c>
      <c r="B406" s="4" t="s">
        <v>97</v>
      </c>
      <c r="C406" s="4" t="s">
        <v>98</v>
      </c>
      <c r="D406" s="4" t="s">
        <v>18</v>
      </c>
      <c r="E406" s="4">
        <v>24</v>
      </c>
      <c r="F406" s="4" t="s">
        <v>53</v>
      </c>
      <c r="G406" s="4" t="s">
        <v>29</v>
      </c>
      <c r="H406" s="4" t="s">
        <v>1237</v>
      </c>
      <c r="I406" s="4">
        <v>54413</v>
      </c>
      <c r="J406" s="4" t="s">
        <v>68</v>
      </c>
      <c r="K406" s="4" t="s">
        <v>1238</v>
      </c>
      <c r="L406" s="4" t="s">
        <v>24</v>
      </c>
      <c r="M406" s="5" t="str">
        <f>IF([1]Employees!$I406&gt;=90000, "High", "Low")</f>
        <v>Low</v>
      </c>
      <c r="N406" s="6" t="str" cm="1">
        <f t="array" ref="N406">_xlfn.IFS([1]Employees!$I406&gt;=90000, "High", [1]Employees!$I406&gt;=50000, "Medium", [1]Employees!$I406&lt;50000, "Low")</f>
        <v>Medium</v>
      </c>
      <c r="O406" s="15" t="str">
        <f>IF([1]Employees!$I406&gt;=90000, "High", IF([1]Employees!$I406&gt;=50000, "Medium", "Low"))</f>
        <v>Medium</v>
      </c>
    </row>
    <row r="407" spans="1:15" x14ac:dyDescent="0.3">
      <c r="A407" s="4" t="s">
        <v>1239</v>
      </c>
      <c r="B407" s="4" t="s">
        <v>146</v>
      </c>
      <c r="C407" s="4" t="s">
        <v>26</v>
      </c>
      <c r="D407" s="4" t="s">
        <v>27</v>
      </c>
      <c r="E407" s="4">
        <v>37</v>
      </c>
      <c r="F407" s="4" t="s">
        <v>34</v>
      </c>
      <c r="G407" s="4" t="s">
        <v>111</v>
      </c>
      <c r="H407" s="4" t="s">
        <v>1240</v>
      </c>
      <c r="I407" s="4">
        <v>40061</v>
      </c>
      <c r="J407" s="4" t="s">
        <v>68</v>
      </c>
      <c r="K407" s="4" t="s">
        <v>1241</v>
      </c>
      <c r="L407" s="4" t="s">
        <v>24</v>
      </c>
      <c r="M407" s="5" t="str">
        <f>IF([1]Employees!$I407&gt;=90000, "High", "Low")</f>
        <v>Low</v>
      </c>
      <c r="N407" s="6" t="str" cm="1">
        <f t="array" ref="N407">_xlfn.IFS([1]Employees!$I407&gt;=90000, "High", [1]Employees!$I407&gt;=50000, "Medium", [1]Employees!$I407&lt;50000, "Low")</f>
        <v>Low</v>
      </c>
      <c r="O407" s="15" t="str">
        <f>IF([1]Employees!$I407&gt;=90000, "High", IF([1]Employees!$I407&gt;=50000, "Medium", "Low"))</f>
        <v>Low</v>
      </c>
    </row>
    <row r="408" spans="1:15" x14ac:dyDescent="0.3">
      <c r="A408" s="4" t="s">
        <v>1242</v>
      </c>
      <c r="B408" s="4" t="s">
        <v>33</v>
      </c>
      <c r="C408" s="4" t="s">
        <v>98</v>
      </c>
      <c r="D408" s="4" t="s">
        <v>27</v>
      </c>
      <c r="E408" s="4">
        <v>45</v>
      </c>
      <c r="F408" s="4" t="s">
        <v>42</v>
      </c>
      <c r="G408" s="4" t="s">
        <v>111</v>
      </c>
      <c r="H408" s="4" t="s">
        <v>1243</v>
      </c>
      <c r="I408" s="4">
        <v>89039</v>
      </c>
      <c r="J408" s="4" t="s">
        <v>37</v>
      </c>
      <c r="K408" s="4" t="s">
        <v>1244</v>
      </c>
      <c r="L408" s="4" t="s">
        <v>24</v>
      </c>
      <c r="M408" s="5" t="str">
        <f>IF([1]Employees!$I408&gt;=90000, "High", "Low")</f>
        <v>Low</v>
      </c>
      <c r="N408" s="6" t="str" cm="1">
        <f t="array" ref="N408">_xlfn.IFS([1]Employees!$I408&gt;=90000, "High", [1]Employees!$I408&gt;=50000, "Medium", [1]Employees!$I408&lt;50000, "Low")</f>
        <v>Medium</v>
      </c>
      <c r="O408" s="15" t="str">
        <f>IF([1]Employees!$I408&gt;=90000, "High", IF([1]Employees!$I408&gt;=50000, "Medium", "Low"))</f>
        <v>Medium</v>
      </c>
    </row>
    <row r="409" spans="1:15" x14ac:dyDescent="0.3">
      <c r="A409" s="4" t="s">
        <v>1245</v>
      </c>
      <c r="B409" s="4" t="s">
        <v>74</v>
      </c>
      <c r="C409" s="4" t="s">
        <v>66</v>
      </c>
      <c r="D409" s="4" t="s">
        <v>18</v>
      </c>
      <c r="E409" s="4">
        <v>30</v>
      </c>
      <c r="F409" s="4" t="s">
        <v>42</v>
      </c>
      <c r="G409" s="4" t="s">
        <v>43</v>
      </c>
      <c r="H409" s="4" t="s">
        <v>1246</v>
      </c>
      <c r="I409" s="4">
        <v>41334</v>
      </c>
      <c r="J409" s="4" t="s">
        <v>37</v>
      </c>
      <c r="K409" s="4" t="s">
        <v>1247</v>
      </c>
      <c r="L409" s="4" t="s">
        <v>24</v>
      </c>
      <c r="M409" s="5" t="str">
        <f>IF([1]Employees!$I409&gt;=90000, "High", "Low")</f>
        <v>Low</v>
      </c>
      <c r="N409" s="6" t="str" cm="1">
        <f t="array" ref="N409">_xlfn.IFS([1]Employees!$I409&gt;=90000, "High", [1]Employees!$I409&gt;=50000, "Medium", [1]Employees!$I409&lt;50000, "Low")</f>
        <v>Low</v>
      </c>
      <c r="O409" s="15" t="str">
        <f>IF([1]Employees!$I409&gt;=90000, "High", IF([1]Employees!$I409&gt;=50000, "Medium", "Low"))</f>
        <v>Low</v>
      </c>
    </row>
    <row r="410" spans="1:15" x14ac:dyDescent="0.3">
      <c r="A410" s="4" t="s">
        <v>1248</v>
      </c>
      <c r="B410" s="4" t="s">
        <v>52</v>
      </c>
      <c r="C410" s="4" t="s">
        <v>168</v>
      </c>
      <c r="D410" s="4" t="s">
        <v>18</v>
      </c>
      <c r="E410" s="4">
        <v>55</v>
      </c>
      <c r="F410" s="4" t="s">
        <v>28</v>
      </c>
      <c r="G410" s="4" t="s">
        <v>20</v>
      </c>
      <c r="H410" s="4" t="s">
        <v>1249</v>
      </c>
      <c r="I410" s="4">
        <v>108930</v>
      </c>
      <c r="J410" s="4" t="s">
        <v>63</v>
      </c>
      <c r="K410" s="4" t="s">
        <v>1250</v>
      </c>
      <c r="L410" s="4" t="s">
        <v>39</v>
      </c>
      <c r="M410" s="5" t="str">
        <f>IF([1]Employees!$I410&gt;=90000, "High", "Low")</f>
        <v>High</v>
      </c>
      <c r="N410" s="6" t="str" cm="1">
        <f t="array" ref="N410">_xlfn.IFS([1]Employees!$I410&gt;=90000, "High", [1]Employees!$I410&gt;=50000, "Medium", [1]Employees!$I410&lt;50000, "Low")</f>
        <v>High</v>
      </c>
      <c r="O410" s="15" t="str">
        <f>IF([1]Employees!$I410&gt;=90000, "High", IF([1]Employees!$I410&gt;=50000, "Medium", "Low"))</f>
        <v>High</v>
      </c>
    </row>
    <row r="411" spans="1:15" x14ac:dyDescent="0.3">
      <c r="A411" s="4" t="s">
        <v>1251</v>
      </c>
      <c r="B411" s="4" t="s">
        <v>74</v>
      </c>
      <c r="C411" s="4" t="s">
        <v>93</v>
      </c>
      <c r="D411" s="4" t="s">
        <v>18</v>
      </c>
      <c r="E411" s="4">
        <v>31</v>
      </c>
      <c r="F411" s="4" t="s">
        <v>53</v>
      </c>
      <c r="G411" s="4" t="s">
        <v>29</v>
      </c>
      <c r="H411" s="4" t="s">
        <v>1252</v>
      </c>
      <c r="I411" s="4">
        <v>78935</v>
      </c>
      <c r="J411" s="4" t="s">
        <v>22</v>
      </c>
      <c r="K411" s="4" t="s">
        <v>1253</v>
      </c>
      <c r="L411" s="4" t="s">
        <v>39</v>
      </c>
      <c r="M411" s="5" t="str">
        <f>IF([1]Employees!$I411&gt;=90000, "High", "Low")</f>
        <v>Low</v>
      </c>
      <c r="N411" s="6" t="str" cm="1">
        <f t="array" ref="N411">_xlfn.IFS([1]Employees!$I411&gt;=90000, "High", [1]Employees!$I411&gt;=50000, "Medium", [1]Employees!$I411&lt;50000, "Low")</f>
        <v>Medium</v>
      </c>
      <c r="O411" s="15" t="str">
        <f>IF([1]Employees!$I411&gt;=90000, "High", IF([1]Employees!$I411&gt;=50000, "Medium", "Low"))</f>
        <v>Medium</v>
      </c>
    </row>
    <row r="412" spans="1:15" x14ac:dyDescent="0.3">
      <c r="A412" s="4" t="s">
        <v>1254</v>
      </c>
      <c r="B412" s="4" t="s">
        <v>41</v>
      </c>
      <c r="C412" s="4" t="s">
        <v>81</v>
      </c>
      <c r="D412" s="4" t="s">
        <v>27</v>
      </c>
      <c r="E412" s="4">
        <v>34</v>
      </c>
      <c r="F412" s="4" t="s">
        <v>53</v>
      </c>
      <c r="G412" s="4" t="s">
        <v>43</v>
      </c>
      <c r="H412" s="4" t="s">
        <v>1255</v>
      </c>
      <c r="I412" s="4">
        <v>68187</v>
      </c>
      <c r="J412" s="4" t="s">
        <v>22</v>
      </c>
      <c r="K412" s="4" t="s">
        <v>1256</v>
      </c>
      <c r="L412" s="4" t="s">
        <v>24</v>
      </c>
      <c r="M412" s="5" t="str">
        <f>IF([1]Employees!$I412&gt;=90000, "High", "Low")</f>
        <v>Low</v>
      </c>
      <c r="N412" s="6" t="str" cm="1">
        <f t="array" ref="N412">_xlfn.IFS([1]Employees!$I412&gt;=90000, "High", [1]Employees!$I412&gt;=50000, "Medium", [1]Employees!$I412&lt;50000, "Low")</f>
        <v>Medium</v>
      </c>
      <c r="O412" s="15" t="str">
        <f>IF([1]Employees!$I412&gt;=90000, "High", IF([1]Employees!$I412&gt;=50000, "Medium", "Low"))</f>
        <v>Medium</v>
      </c>
    </row>
    <row r="413" spans="1:15" x14ac:dyDescent="0.3">
      <c r="A413" s="4" t="s">
        <v>1257</v>
      </c>
      <c r="B413" s="4" t="s">
        <v>16</v>
      </c>
      <c r="C413" s="4" t="s">
        <v>48</v>
      </c>
      <c r="D413" s="4" t="s">
        <v>18</v>
      </c>
      <c r="E413" s="4">
        <v>51</v>
      </c>
      <c r="F413" s="4" t="s">
        <v>28</v>
      </c>
      <c r="G413" s="4" t="s">
        <v>29</v>
      </c>
      <c r="H413" s="4" t="s">
        <v>1258</v>
      </c>
      <c r="I413" s="4">
        <v>56816</v>
      </c>
      <c r="J413" s="4" t="s">
        <v>68</v>
      </c>
      <c r="K413" s="4" t="s">
        <v>1259</v>
      </c>
      <c r="L413" s="4" t="s">
        <v>24</v>
      </c>
      <c r="M413" s="5" t="str">
        <f>IF([1]Employees!$I413&gt;=90000, "High", "Low")</f>
        <v>Low</v>
      </c>
      <c r="N413" s="6" t="str" cm="1">
        <f t="array" ref="N413">_xlfn.IFS([1]Employees!$I413&gt;=90000, "High", [1]Employees!$I413&gt;=50000, "Medium", [1]Employees!$I413&lt;50000, "Low")</f>
        <v>Medium</v>
      </c>
      <c r="O413" s="15" t="str">
        <f>IF([1]Employees!$I413&gt;=90000, "High", IF([1]Employees!$I413&gt;=50000, "Medium", "Low"))</f>
        <v>Medium</v>
      </c>
    </row>
    <row r="414" spans="1:15" x14ac:dyDescent="0.3">
      <c r="A414" s="4" t="s">
        <v>1260</v>
      </c>
      <c r="B414" s="4" t="s">
        <v>61</v>
      </c>
      <c r="C414" s="4" t="s">
        <v>17</v>
      </c>
      <c r="D414" s="4" t="s">
        <v>18</v>
      </c>
      <c r="E414" s="4">
        <v>29</v>
      </c>
      <c r="F414" s="4" t="s">
        <v>28</v>
      </c>
      <c r="G414" s="4" t="s">
        <v>20</v>
      </c>
      <c r="H414" s="4" t="s">
        <v>1261</v>
      </c>
      <c r="I414" s="4">
        <v>102232</v>
      </c>
      <c r="J414" s="4" t="s">
        <v>22</v>
      </c>
      <c r="K414" s="4" t="s">
        <v>1262</v>
      </c>
      <c r="L414" s="4" t="s">
        <v>24</v>
      </c>
      <c r="M414" s="5" t="str">
        <f>IF([1]Employees!$I414&gt;=90000, "High", "Low")</f>
        <v>High</v>
      </c>
      <c r="N414" s="6" t="str" cm="1">
        <f t="array" ref="N414">_xlfn.IFS([1]Employees!$I414&gt;=90000, "High", [1]Employees!$I414&gt;=50000, "Medium", [1]Employees!$I414&lt;50000, "Low")</f>
        <v>High</v>
      </c>
      <c r="O414" s="15" t="str">
        <f>IF([1]Employees!$I414&gt;=90000, "High", IF([1]Employees!$I414&gt;=50000, "Medium", "Low"))</f>
        <v>High</v>
      </c>
    </row>
    <row r="415" spans="1:15" x14ac:dyDescent="0.3">
      <c r="A415" s="4" t="s">
        <v>1263</v>
      </c>
      <c r="B415" s="4" t="s">
        <v>61</v>
      </c>
      <c r="C415" s="4" t="s">
        <v>48</v>
      </c>
      <c r="D415" s="4" t="s">
        <v>27</v>
      </c>
      <c r="E415" s="4">
        <v>38</v>
      </c>
      <c r="F415" s="4" t="s">
        <v>53</v>
      </c>
      <c r="G415" s="4" t="s">
        <v>111</v>
      </c>
      <c r="H415" s="4" t="s">
        <v>1264</v>
      </c>
      <c r="I415" s="4">
        <v>99123</v>
      </c>
      <c r="J415" s="4" t="s">
        <v>22</v>
      </c>
      <c r="K415" s="4" t="s">
        <v>1265</v>
      </c>
      <c r="L415" s="4" t="s">
        <v>39</v>
      </c>
      <c r="M415" s="5" t="str">
        <f>IF([1]Employees!$I415&gt;=90000, "High", "Low")</f>
        <v>High</v>
      </c>
      <c r="N415" s="6" t="str" cm="1">
        <f t="array" ref="N415">_xlfn.IFS([1]Employees!$I415&gt;=90000, "High", [1]Employees!$I415&gt;=50000, "Medium", [1]Employees!$I415&lt;50000, "Low")</f>
        <v>High</v>
      </c>
      <c r="O415" s="15" t="str">
        <f>IF([1]Employees!$I415&gt;=90000, "High", IF([1]Employees!$I415&gt;=50000, "Medium", "Low"))</f>
        <v>High</v>
      </c>
    </row>
    <row r="416" spans="1:15" x14ac:dyDescent="0.3">
      <c r="A416" s="4" t="s">
        <v>1266</v>
      </c>
      <c r="B416" s="4" t="s">
        <v>57</v>
      </c>
      <c r="C416" s="4" t="s">
        <v>17</v>
      </c>
      <c r="D416" s="4" t="s">
        <v>18</v>
      </c>
      <c r="E416" s="4">
        <v>23</v>
      </c>
      <c r="F416" s="4" t="s">
        <v>42</v>
      </c>
      <c r="G416" s="4" t="s">
        <v>35</v>
      </c>
      <c r="H416" s="4" t="s">
        <v>1267</v>
      </c>
      <c r="I416" s="4">
        <v>44686</v>
      </c>
      <c r="J416" s="4" t="s">
        <v>63</v>
      </c>
      <c r="K416" s="4" t="s">
        <v>1268</v>
      </c>
      <c r="L416" s="4" t="s">
        <v>24</v>
      </c>
      <c r="M416" s="5" t="str">
        <f>IF([1]Employees!$I416&gt;=90000, "High", "Low")</f>
        <v>Low</v>
      </c>
      <c r="N416" s="6" t="str" cm="1">
        <f t="array" ref="N416">_xlfn.IFS([1]Employees!$I416&gt;=90000, "High", [1]Employees!$I416&gt;=50000, "Medium", [1]Employees!$I416&lt;50000, "Low")</f>
        <v>Low</v>
      </c>
      <c r="O416" s="15" t="str">
        <f>IF([1]Employees!$I416&gt;=90000, "High", IF([1]Employees!$I416&gt;=50000, "Medium", "Low"))</f>
        <v>Low</v>
      </c>
    </row>
    <row r="417" spans="1:15" x14ac:dyDescent="0.3">
      <c r="A417" s="4" t="s">
        <v>1269</v>
      </c>
      <c r="B417" s="4" t="s">
        <v>57</v>
      </c>
      <c r="C417" s="4" t="s">
        <v>168</v>
      </c>
      <c r="D417" s="4" t="s">
        <v>27</v>
      </c>
      <c r="E417" s="4">
        <v>57</v>
      </c>
      <c r="F417" s="4" t="s">
        <v>34</v>
      </c>
      <c r="G417" s="4" t="s">
        <v>29</v>
      </c>
      <c r="H417" s="4" t="s">
        <v>1270</v>
      </c>
      <c r="I417" s="4">
        <v>104342</v>
      </c>
      <c r="J417" s="4" t="s">
        <v>83</v>
      </c>
      <c r="K417" s="4" t="s">
        <v>1271</v>
      </c>
      <c r="L417" s="4" t="s">
        <v>39</v>
      </c>
      <c r="M417" s="5" t="str">
        <f>IF([1]Employees!$I417&gt;=90000, "High", "Low")</f>
        <v>High</v>
      </c>
      <c r="N417" s="6" t="str" cm="1">
        <f t="array" ref="N417">_xlfn.IFS([1]Employees!$I417&gt;=90000, "High", [1]Employees!$I417&gt;=50000, "Medium", [1]Employees!$I417&lt;50000, "Low")</f>
        <v>High</v>
      </c>
      <c r="O417" s="15" t="str">
        <f>IF([1]Employees!$I417&gt;=90000, "High", IF([1]Employees!$I417&gt;=50000, "Medium", "Low"))</f>
        <v>High</v>
      </c>
    </row>
    <row r="418" spans="1:15" x14ac:dyDescent="0.3">
      <c r="A418" s="4" t="s">
        <v>1272</v>
      </c>
      <c r="B418" s="4" t="s">
        <v>33</v>
      </c>
      <c r="C418" s="4" t="s">
        <v>86</v>
      </c>
      <c r="D418" s="4" t="s">
        <v>27</v>
      </c>
      <c r="E418" s="4">
        <v>40</v>
      </c>
      <c r="F418" s="4" t="s">
        <v>19</v>
      </c>
      <c r="G418" s="4" t="s">
        <v>29</v>
      </c>
      <c r="H418" s="4" t="s">
        <v>1273</v>
      </c>
      <c r="I418" s="4">
        <v>116236</v>
      </c>
      <c r="J418" s="4" t="s">
        <v>68</v>
      </c>
      <c r="K418" s="4" t="s">
        <v>1274</v>
      </c>
      <c r="L418" s="4" t="s">
        <v>39</v>
      </c>
      <c r="M418" s="5" t="str">
        <f>IF([1]Employees!$I418&gt;=90000, "High", "Low")</f>
        <v>High</v>
      </c>
      <c r="N418" s="6" t="str" cm="1">
        <f t="array" ref="N418">_xlfn.IFS([1]Employees!$I418&gt;=90000, "High", [1]Employees!$I418&gt;=50000, "Medium", [1]Employees!$I418&lt;50000, "Low")</f>
        <v>High</v>
      </c>
      <c r="O418" s="15" t="str">
        <f>IF([1]Employees!$I418&gt;=90000, "High", IF([1]Employees!$I418&gt;=50000, "Medium", "Low"))</f>
        <v>High</v>
      </c>
    </row>
    <row r="419" spans="1:15" x14ac:dyDescent="0.3">
      <c r="A419" s="4" t="s">
        <v>1275</v>
      </c>
      <c r="B419" s="4" t="s">
        <v>47</v>
      </c>
      <c r="C419" s="4" t="s">
        <v>86</v>
      </c>
      <c r="D419" s="4" t="s">
        <v>27</v>
      </c>
      <c r="E419" s="4">
        <v>33</v>
      </c>
      <c r="F419" s="4" t="s">
        <v>42</v>
      </c>
      <c r="G419" s="4" t="s">
        <v>35</v>
      </c>
      <c r="H419" s="4" t="s">
        <v>1276</v>
      </c>
      <c r="I419" s="4">
        <v>63416</v>
      </c>
      <c r="J419" s="4" t="s">
        <v>22</v>
      </c>
      <c r="K419" s="4" t="s">
        <v>1277</v>
      </c>
      <c r="L419" s="4" t="s">
        <v>39</v>
      </c>
      <c r="M419" s="5" t="str">
        <f>IF([1]Employees!$I419&gt;=90000, "High", "Low")</f>
        <v>Low</v>
      </c>
      <c r="N419" s="6" t="str" cm="1">
        <f t="array" ref="N419">_xlfn.IFS([1]Employees!$I419&gt;=90000, "High", [1]Employees!$I419&gt;=50000, "Medium", [1]Employees!$I419&lt;50000, "Low")</f>
        <v>Medium</v>
      </c>
      <c r="O419" s="15" t="str">
        <f>IF([1]Employees!$I419&gt;=90000, "High", IF([1]Employees!$I419&gt;=50000, "Medium", "Low"))</f>
        <v>Medium</v>
      </c>
    </row>
    <row r="420" spans="1:15" x14ac:dyDescent="0.3">
      <c r="A420" s="4" t="s">
        <v>1278</v>
      </c>
      <c r="B420" s="4" t="s">
        <v>97</v>
      </c>
      <c r="C420" s="4" t="s">
        <v>81</v>
      </c>
      <c r="D420" s="4" t="s">
        <v>18</v>
      </c>
      <c r="E420" s="4">
        <v>46</v>
      </c>
      <c r="F420" s="4" t="s">
        <v>28</v>
      </c>
      <c r="G420" s="4" t="s">
        <v>43</v>
      </c>
      <c r="H420" s="4" t="s">
        <v>1279</v>
      </c>
      <c r="I420" s="4">
        <v>48319</v>
      </c>
      <c r="J420" s="4" t="s">
        <v>83</v>
      </c>
      <c r="K420" s="4" t="s">
        <v>1280</v>
      </c>
      <c r="L420" s="4" t="s">
        <v>24</v>
      </c>
      <c r="M420" s="5" t="str">
        <f>IF([1]Employees!$I420&gt;=90000, "High", "Low")</f>
        <v>Low</v>
      </c>
      <c r="N420" s="6" t="str" cm="1">
        <f t="array" ref="N420">_xlfn.IFS([1]Employees!$I420&gt;=90000, "High", [1]Employees!$I420&gt;=50000, "Medium", [1]Employees!$I420&lt;50000, "Low")</f>
        <v>Low</v>
      </c>
      <c r="O420" s="15" t="str">
        <f>IF([1]Employees!$I420&gt;=90000, "High", IF([1]Employees!$I420&gt;=50000, "Medium", "Low"))</f>
        <v>Low</v>
      </c>
    </row>
    <row r="421" spans="1:15" x14ac:dyDescent="0.3">
      <c r="A421" s="4" t="s">
        <v>1281</v>
      </c>
      <c r="B421" s="4" t="s">
        <v>16</v>
      </c>
      <c r="C421" s="4" t="s">
        <v>133</v>
      </c>
      <c r="D421" s="4" t="s">
        <v>18</v>
      </c>
      <c r="E421" s="4">
        <v>36</v>
      </c>
      <c r="F421" s="4" t="s">
        <v>42</v>
      </c>
      <c r="G421" s="4" t="s">
        <v>20</v>
      </c>
      <c r="H421" s="4" t="s">
        <v>1282</v>
      </c>
      <c r="I421" s="4">
        <v>82168</v>
      </c>
      <c r="J421" s="4" t="s">
        <v>22</v>
      </c>
      <c r="K421" s="4" t="s">
        <v>1283</v>
      </c>
      <c r="L421" s="4" t="s">
        <v>24</v>
      </c>
      <c r="M421" s="5" t="str">
        <f>IF([1]Employees!$I421&gt;=90000, "High", "Low")</f>
        <v>Low</v>
      </c>
      <c r="N421" s="6" t="str" cm="1">
        <f t="array" ref="N421">_xlfn.IFS([1]Employees!$I421&gt;=90000, "High", [1]Employees!$I421&gt;=50000, "Medium", [1]Employees!$I421&lt;50000, "Low")</f>
        <v>Medium</v>
      </c>
      <c r="O421" s="15" t="str">
        <f>IF([1]Employees!$I421&gt;=90000, "High", IF([1]Employees!$I421&gt;=50000, "Medium", "Low"))</f>
        <v>Medium</v>
      </c>
    </row>
    <row r="422" spans="1:15" x14ac:dyDescent="0.3">
      <c r="A422" s="4" t="s">
        <v>1284</v>
      </c>
      <c r="B422" s="4" t="s">
        <v>74</v>
      </c>
      <c r="C422" s="4" t="s">
        <v>66</v>
      </c>
      <c r="D422" s="4" t="s">
        <v>27</v>
      </c>
      <c r="E422" s="4">
        <v>32</v>
      </c>
      <c r="F422" s="4" t="s">
        <v>28</v>
      </c>
      <c r="G422" s="4" t="s">
        <v>43</v>
      </c>
      <c r="H422" s="4" t="s">
        <v>1285</v>
      </c>
      <c r="I422" s="4">
        <v>83994</v>
      </c>
      <c r="J422" s="4" t="s">
        <v>22</v>
      </c>
      <c r="K422" s="4" t="s">
        <v>1286</v>
      </c>
      <c r="L422" s="4" t="s">
        <v>39</v>
      </c>
      <c r="M422" s="5" t="str">
        <f>IF([1]Employees!$I422&gt;=90000, "High", "Low")</f>
        <v>Low</v>
      </c>
      <c r="N422" s="6" t="str" cm="1">
        <f t="array" ref="N422">_xlfn.IFS([1]Employees!$I422&gt;=90000, "High", [1]Employees!$I422&gt;=50000, "Medium", [1]Employees!$I422&lt;50000, "Low")</f>
        <v>Medium</v>
      </c>
      <c r="O422" s="15" t="str">
        <f>IF([1]Employees!$I422&gt;=90000, "High", IF([1]Employees!$I422&gt;=50000, "Medium", "Low"))</f>
        <v>Medium</v>
      </c>
    </row>
    <row r="423" spans="1:15" x14ac:dyDescent="0.3">
      <c r="A423" s="4" t="s">
        <v>1287</v>
      </c>
      <c r="B423" s="4" t="s">
        <v>33</v>
      </c>
      <c r="C423" s="4" t="s">
        <v>93</v>
      </c>
      <c r="D423" s="4" t="s">
        <v>18</v>
      </c>
      <c r="E423" s="4">
        <v>43</v>
      </c>
      <c r="F423" s="4" t="s">
        <v>28</v>
      </c>
      <c r="G423" s="4" t="s">
        <v>35</v>
      </c>
      <c r="H423" s="4" t="s">
        <v>1288</v>
      </c>
      <c r="I423" s="4">
        <v>45200</v>
      </c>
      <c r="J423" s="4" t="s">
        <v>22</v>
      </c>
      <c r="K423" s="4" t="s">
        <v>1289</v>
      </c>
      <c r="L423" s="4" t="s">
        <v>39</v>
      </c>
      <c r="M423" s="5" t="str">
        <f>IF([1]Employees!$I423&gt;=90000, "High", "Low")</f>
        <v>Low</v>
      </c>
      <c r="N423" s="6" t="str" cm="1">
        <f t="array" ref="N423">_xlfn.IFS([1]Employees!$I423&gt;=90000, "High", [1]Employees!$I423&gt;=50000, "Medium", [1]Employees!$I423&lt;50000, "Low")</f>
        <v>Low</v>
      </c>
      <c r="O423" s="15" t="str">
        <f>IF([1]Employees!$I423&gt;=90000, "High", IF([1]Employees!$I423&gt;=50000, "Medium", "Low"))</f>
        <v>Low</v>
      </c>
    </row>
    <row r="424" spans="1:15" x14ac:dyDescent="0.3">
      <c r="A424" s="4" t="s">
        <v>1290</v>
      </c>
      <c r="B424" s="4" t="s">
        <v>41</v>
      </c>
      <c r="C424" s="4" t="s">
        <v>66</v>
      </c>
      <c r="D424" s="4" t="s">
        <v>27</v>
      </c>
      <c r="E424" s="4">
        <v>25</v>
      </c>
      <c r="F424" s="4" t="s">
        <v>34</v>
      </c>
      <c r="G424" s="4" t="s">
        <v>20</v>
      </c>
      <c r="H424" s="4" t="s">
        <v>1291</v>
      </c>
      <c r="I424" s="4">
        <v>84722</v>
      </c>
      <c r="J424" s="4" t="s">
        <v>68</v>
      </c>
      <c r="K424" s="4" t="s">
        <v>1292</v>
      </c>
      <c r="L424" s="4" t="s">
        <v>39</v>
      </c>
      <c r="M424" s="5" t="str">
        <f>IF([1]Employees!$I424&gt;=90000, "High", "Low")</f>
        <v>Low</v>
      </c>
      <c r="N424" s="6" t="str" cm="1">
        <f t="array" ref="N424">_xlfn.IFS([1]Employees!$I424&gt;=90000, "High", [1]Employees!$I424&gt;=50000, "Medium", [1]Employees!$I424&lt;50000, "Low")</f>
        <v>Medium</v>
      </c>
      <c r="O424" s="15" t="str">
        <f>IF([1]Employees!$I424&gt;=90000, "High", IF([1]Employees!$I424&gt;=50000, "Medium", "Low"))</f>
        <v>Medium</v>
      </c>
    </row>
    <row r="425" spans="1:15" x14ac:dyDescent="0.3">
      <c r="A425" s="4" t="s">
        <v>1293</v>
      </c>
      <c r="B425" s="4" t="s">
        <v>16</v>
      </c>
      <c r="C425" s="4" t="s">
        <v>66</v>
      </c>
      <c r="D425" s="4" t="s">
        <v>18</v>
      </c>
      <c r="E425" s="4">
        <v>24</v>
      </c>
      <c r="F425" s="4" t="s">
        <v>34</v>
      </c>
      <c r="G425" s="4" t="s">
        <v>20</v>
      </c>
      <c r="H425" s="4" t="s">
        <v>1294</v>
      </c>
      <c r="I425" s="4">
        <v>57088</v>
      </c>
      <c r="J425" s="4" t="s">
        <v>22</v>
      </c>
      <c r="K425" s="4" t="s">
        <v>1295</v>
      </c>
      <c r="L425" s="4" t="s">
        <v>24</v>
      </c>
      <c r="M425" s="5" t="str">
        <f>IF([1]Employees!$I425&gt;=90000, "High", "Low")</f>
        <v>Low</v>
      </c>
      <c r="N425" s="6" t="str" cm="1">
        <f t="array" ref="N425">_xlfn.IFS([1]Employees!$I425&gt;=90000, "High", [1]Employees!$I425&gt;=50000, "Medium", [1]Employees!$I425&lt;50000, "Low")</f>
        <v>Medium</v>
      </c>
      <c r="O425" s="15" t="str">
        <f>IF([1]Employees!$I425&gt;=90000, "High", IF([1]Employees!$I425&gt;=50000, "Medium", "Low"))</f>
        <v>Medium</v>
      </c>
    </row>
    <row r="426" spans="1:15" x14ac:dyDescent="0.3">
      <c r="A426" s="4" t="s">
        <v>1296</v>
      </c>
      <c r="B426" s="4" t="s">
        <v>61</v>
      </c>
      <c r="C426" s="4" t="s">
        <v>66</v>
      </c>
      <c r="D426" s="4" t="s">
        <v>27</v>
      </c>
      <c r="E426" s="4">
        <v>52</v>
      </c>
      <c r="F426" s="4" t="s">
        <v>53</v>
      </c>
      <c r="G426" s="4" t="s">
        <v>111</v>
      </c>
      <c r="H426" s="4" t="s">
        <v>1297</v>
      </c>
      <c r="I426" s="4">
        <v>106181</v>
      </c>
      <c r="J426" s="4" t="s">
        <v>37</v>
      </c>
      <c r="K426" s="4" t="s">
        <v>1298</v>
      </c>
      <c r="L426" s="4" t="s">
        <v>24</v>
      </c>
      <c r="M426" s="5" t="str">
        <f>IF([1]Employees!$I426&gt;=90000, "High", "Low")</f>
        <v>High</v>
      </c>
      <c r="N426" s="6" t="str" cm="1">
        <f t="array" ref="N426">_xlfn.IFS([1]Employees!$I426&gt;=90000, "High", [1]Employees!$I426&gt;=50000, "Medium", [1]Employees!$I426&lt;50000, "Low")</f>
        <v>High</v>
      </c>
      <c r="O426" s="15" t="str">
        <f>IF([1]Employees!$I426&gt;=90000, "High", IF([1]Employees!$I426&gt;=50000, "Medium", "Low"))</f>
        <v>High</v>
      </c>
    </row>
    <row r="427" spans="1:15" x14ac:dyDescent="0.3">
      <c r="A427" s="4" t="s">
        <v>1299</v>
      </c>
      <c r="B427" s="4" t="s">
        <v>74</v>
      </c>
      <c r="C427" s="4" t="s">
        <v>93</v>
      </c>
      <c r="D427" s="4" t="s">
        <v>18</v>
      </c>
      <c r="E427" s="4">
        <v>48</v>
      </c>
      <c r="F427" s="4" t="s">
        <v>28</v>
      </c>
      <c r="G427" s="4" t="s">
        <v>20</v>
      </c>
      <c r="H427" s="4" t="s">
        <v>1300</v>
      </c>
      <c r="I427" s="4">
        <v>117192</v>
      </c>
      <c r="J427" s="4" t="s">
        <v>63</v>
      </c>
      <c r="K427" s="4" t="s">
        <v>1301</v>
      </c>
      <c r="L427" s="4" t="s">
        <v>24</v>
      </c>
      <c r="M427" s="5" t="str">
        <f>IF([1]Employees!$I427&gt;=90000, "High", "Low")</f>
        <v>High</v>
      </c>
      <c r="N427" s="6" t="str" cm="1">
        <f t="array" ref="N427">_xlfn.IFS([1]Employees!$I427&gt;=90000, "High", [1]Employees!$I427&gt;=50000, "Medium", [1]Employees!$I427&lt;50000, "Low")</f>
        <v>High</v>
      </c>
      <c r="O427" s="15" t="str">
        <f>IF([1]Employees!$I427&gt;=90000, "High", IF([1]Employees!$I427&gt;=50000, "Medium", "Low"))</f>
        <v>High</v>
      </c>
    </row>
    <row r="428" spans="1:15" x14ac:dyDescent="0.3">
      <c r="A428" s="4" t="s">
        <v>1302</v>
      </c>
      <c r="B428" s="4" t="s">
        <v>97</v>
      </c>
      <c r="C428" s="4" t="s">
        <v>17</v>
      </c>
      <c r="D428" s="4" t="s">
        <v>18</v>
      </c>
      <c r="E428" s="4">
        <v>43</v>
      </c>
      <c r="F428" s="4" t="s">
        <v>28</v>
      </c>
      <c r="G428" s="4" t="s">
        <v>111</v>
      </c>
      <c r="H428" s="4" t="s">
        <v>1303</v>
      </c>
      <c r="I428" s="4">
        <v>114670</v>
      </c>
      <c r="J428" s="4" t="s">
        <v>63</v>
      </c>
      <c r="K428" s="4" t="s">
        <v>1304</v>
      </c>
      <c r="L428" s="4" t="s">
        <v>39</v>
      </c>
      <c r="M428" s="5" t="str">
        <f>IF([1]Employees!$I428&gt;=90000, "High", "Low")</f>
        <v>High</v>
      </c>
      <c r="N428" s="6" t="str" cm="1">
        <f t="array" ref="N428">_xlfn.IFS([1]Employees!$I428&gt;=90000, "High", [1]Employees!$I428&gt;=50000, "Medium", [1]Employees!$I428&lt;50000, "Low")</f>
        <v>High</v>
      </c>
      <c r="O428" s="15" t="str">
        <f>IF([1]Employees!$I428&gt;=90000, "High", IF([1]Employees!$I428&gt;=50000, "Medium", "Low"))</f>
        <v>High</v>
      </c>
    </row>
    <row r="429" spans="1:15" x14ac:dyDescent="0.3">
      <c r="A429" s="4" t="s">
        <v>1305</v>
      </c>
      <c r="B429" s="4" t="s">
        <v>33</v>
      </c>
      <c r="C429" s="4" t="s">
        <v>66</v>
      </c>
      <c r="D429" s="4" t="s">
        <v>18</v>
      </c>
      <c r="E429" s="4">
        <v>36</v>
      </c>
      <c r="F429" s="4" t="s">
        <v>19</v>
      </c>
      <c r="G429" s="4" t="s">
        <v>43</v>
      </c>
      <c r="H429" s="4" t="s">
        <v>690</v>
      </c>
      <c r="I429" s="4">
        <v>116951</v>
      </c>
      <c r="J429" s="4" t="s">
        <v>83</v>
      </c>
      <c r="K429" s="4" t="s">
        <v>1306</v>
      </c>
      <c r="L429" s="4" t="s">
        <v>24</v>
      </c>
      <c r="M429" s="5" t="str">
        <f>IF([1]Employees!$I429&gt;=90000, "High", "Low")</f>
        <v>High</v>
      </c>
      <c r="N429" s="6" t="str" cm="1">
        <f t="array" ref="N429">_xlfn.IFS([1]Employees!$I429&gt;=90000, "High", [1]Employees!$I429&gt;=50000, "Medium", [1]Employees!$I429&lt;50000, "Low")</f>
        <v>High</v>
      </c>
      <c r="O429" s="15" t="str">
        <f>IF([1]Employees!$I429&gt;=90000, "High", IF([1]Employees!$I429&gt;=50000, "Medium", "Low"))</f>
        <v>High</v>
      </c>
    </row>
    <row r="430" spans="1:15" x14ac:dyDescent="0.3">
      <c r="A430" s="4" t="s">
        <v>1307</v>
      </c>
      <c r="B430" s="4" t="s">
        <v>74</v>
      </c>
      <c r="C430" s="4" t="s">
        <v>86</v>
      </c>
      <c r="D430" s="4" t="s">
        <v>18</v>
      </c>
      <c r="E430" s="4">
        <v>43</v>
      </c>
      <c r="F430" s="4" t="s">
        <v>19</v>
      </c>
      <c r="G430" s="4" t="s">
        <v>29</v>
      </c>
      <c r="H430" s="4" t="s">
        <v>653</v>
      </c>
      <c r="I430" s="4">
        <v>86123</v>
      </c>
      <c r="J430" s="4" t="s">
        <v>37</v>
      </c>
      <c r="K430" s="4" t="s">
        <v>1308</v>
      </c>
      <c r="L430" s="4" t="s">
        <v>39</v>
      </c>
      <c r="M430" s="5" t="str">
        <f>IF([1]Employees!$I430&gt;=90000, "High", "Low")</f>
        <v>Low</v>
      </c>
      <c r="N430" s="6" t="str" cm="1">
        <f t="array" ref="N430">_xlfn.IFS([1]Employees!$I430&gt;=90000, "High", [1]Employees!$I430&gt;=50000, "Medium", [1]Employees!$I430&lt;50000, "Low")</f>
        <v>Medium</v>
      </c>
      <c r="O430" s="15" t="str">
        <f>IF([1]Employees!$I430&gt;=90000, "High", IF([1]Employees!$I430&gt;=50000, "Medium", "Low"))</f>
        <v>Medium</v>
      </c>
    </row>
    <row r="431" spans="1:15" x14ac:dyDescent="0.3">
      <c r="A431" s="4" t="s">
        <v>1309</v>
      </c>
      <c r="B431" s="4" t="s">
        <v>16</v>
      </c>
      <c r="C431" s="4" t="s">
        <v>93</v>
      </c>
      <c r="D431" s="4" t="s">
        <v>18</v>
      </c>
      <c r="E431" s="4">
        <v>45</v>
      </c>
      <c r="F431" s="4" t="s">
        <v>53</v>
      </c>
      <c r="G431" s="4" t="s">
        <v>20</v>
      </c>
      <c r="H431" s="4" t="s">
        <v>1310</v>
      </c>
      <c r="I431" s="4">
        <v>68220</v>
      </c>
      <c r="J431" s="4" t="s">
        <v>83</v>
      </c>
      <c r="K431" s="4" t="s">
        <v>1311</v>
      </c>
      <c r="L431" s="4" t="s">
        <v>24</v>
      </c>
      <c r="M431" s="5" t="str">
        <f>IF([1]Employees!$I431&gt;=90000, "High", "Low")</f>
        <v>Low</v>
      </c>
      <c r="N431" s="6" t="str" cm="1">
        <f t="array" ref="N431">_xlfn.IFS([1]Employees!$I431&gt;=90000, "High", [1]Employees!$I431&gt;=50000, "Medium", [1]Employees!$I431&lt;50000, "Low")</f>
        <v>Medium</v>
      </c>
      <c r="O431" s="15" t="str">
        <f>IF([1]Employees!$I431&gt;=90000, "High", IF([1]Employees!$I431&gt;=50000, "Medium", "Low"))</f>
        <v>Medium</v>
      </c>
    </row>
    <row r="432" spans="1:15" x14ac:dyDescent="0.3">
      <c r="A432" s="4" t="s">
        <v>1312</v>
      </c>
      <c r="B432" s="4" t="s">
        <v>52</v>
      </c>
      <c r="C432" s="4" t="s">
        <v>133</v>
      </c>
      <c r="D432" s="4" t="s">
        <v>18</v>
      </c>
      <c r="E432" s="4">
        <v>60</v>
      </c>
      <c r="F432" s="4" t="s">
        <v>42</v>
      </c>
      <c r="G432" s="4" t="s">
        <v>35</v>
      </c>
      <c r="H432" s="4" t="s">
        <v>1313</v>
      </c>
      <c r="I432" s="4">
        <v>115147</v>
      </c>
      <c r="J432" s="4" t="s">
        <v>37</v>
      </c>
      <c r="K432" s="4" t="s">
        <v>1314</v>
      </c>
      <c r="L432" s="4" t="s">
        <v>39</v>
      </c>
      <c r="M432" s="5" t="str">
        <f>IF([1]Employees!$I432&gt;=90000, "High", "Low")</f>
        <v>High</v>
      </c>
      <c r="N432" s="6" t="str" cm="1">
        <f t="array" ref="N432">_xlfn.IFS([1]Employees!$I432&gt;=90000, "High", [1]Employees!$I432&gt;=50000, "Medium", [1]Employees!$I432&lt;50000, "Low")</f>
        <v>High</v>
      </c>
      <c r="O432" s="15" t="str">
        <f>IF([1]Employees!$I432&gt;=90000, "High", IF([1]Employees!$I432&gt;=50000, "Medium", "Low"))</f>
        <v>High</v>
      </c>
    </row>
    <row r="433" spans="1:15" x14ac:dyDescent="0.3">
      <c r="A433" s="4" t="s">
        <v>1315</v>
      </c>
      <c r="B433" s="4" t="s">
        <v>97</v>
      </c>
      <c r="C433" s="4" t="s">
        <v>48</v>
      </c>
      <c r="D433" s="4" t="s">
        <v>18</v>
      </c>
      <c r="E433" s="4">
        <v>54</v>
      </c>
      <c r="F433" s="4" t="s">
        <v>53</v>
      </c>
      <c r="G433" s="4" t="s">
        <v>29</v>
      </c>
      <c r="H433" s="4" t="s">
        <v>1316</v>
      </c>
      <c r="I433" s="4">
        <v>68028</v>
      </c>
      <c r="J433" s="4" t="s">
        <v>22</v>
      </c>
      <c r="K433" s="4" t="s">
        <v>1317</v>
      </c>
      <c r="L433" s="4" t="s">
        <v>39</v>
      </c>
      <c r="M433" s="5" t="str">
        <f>IF([1]Employees!$I433&gt;=90000, "High", "Low")</f>
        <v>Low</v>
      </c>
      <c r="N433" s="6" t="str" cm="1">
        <f t="array" ref="N433">_xlfn.IFS([1]Employees!$I433&gt;=90000, "High", [1]Employees!$I433&gt;=50000, "Medium", [1]Employees!$I433&lt;50000, "Low")</f>
        <v>Medium</v>
      </c>
      <c r="O433" s="15" t="str">
        <f>IF([1]Employees!$I433&gt;=90000, "High", IF([1]Employees!$I433&gt;=50000, "Medium", "Low"))</f>
        <v>Medium</v>
      </c>
    </row>
    <row r="434" spans="1:15" x14ac:dyDescent="0.3">
      <c r="A434" s="4" t="s">
        <v>1318</v>
      </c>
      <c r="B434" s="4" t="s">
        <v>41</v>
      </c>
      <c r="C434" s="4" t="s">
        <v>48</v>
      </c>
      <c r="D434" s="4" t="s">
        <v>27</v>
      </c>
      <c r="E434" s="4">
        <v>52</v>
      </c>
      <c r="F434" s="4" t="s">
        <v>42</v>
      </c>
      <c r="G434" s="4" t="s">
        <v>111</v>
      </c>
      <c r="H434" s="4" t="s">
        <v>1319</v>
      </c>
      <c r="I434" s="4">
        <v>46732</v>
      </c>
      <c r="J434" s="4" t="s">
        <v>68</v>
      </c>
      <c r="K434" s="4" t="s">
        <v>1320</v>
      </c>
      <c r="L434" s="4" t="s">
        <v>39</v>
      </c>
      <c r="M434" s="5" t="str">
        <f>IF([1]Employees!$I434&gt;=90000, "High", "Low")</f>
        <v>Low</v>
      </c>
      <c r="N434" s="6" t="str" cm="1">
        <f t="array" ref="N434">_xlfn.IFS([1]Employees!$I434&gt;=90000, "High", [1]Employees!$I434&gt;=50000, "Medium", [1]Employees!$I434&lt;50000, "Low")</f>
        <v>Low</v>
      </c>
      <c r="O434" s="15" t="str">
        <f>IF([1]Employees!$I434&gt;=90000, "High", IF([1]Employees!$I434&gt;=50000, "Medium", "Low"))</f>
        <v>Low</v>
      </c>
    </row>
    <row r="435" spans="1:15" x14ac:dyDescent="0.3">
      <c r="A435" s="4" t="s">
        <v>1321</v>
      </c>
      <c r="B435" s="4" t="s">
        <v>47</v>
      </c>
      <c r="C435" s="4" t="s">
        <v>133</v>
      </c>
      <c r="D435" s="4" t="s">
        <v>27</v>
      </c>
      <c r="E435" s="4">
        <v>53</v>
      </c>
      <c r="F435" s="4" t="s">
        <v>19</v>
      </c>
      <c r="G435" s="4" t="s">
        <v>111</v>
      </c>
      <c r="H435" s="4" t="s">
        <v>1322</v>
      </c>
      <c r="I435" s="4">
        <v>37701</v>
      </c>
      <c r="J435" s="4" t="s">
        <v>37</v>
      </c>
      <c r="K435" s="4" t="s">
        <v>1323</v>
      </c>
      <c r="L435" s="4" t="s">
        <v>39</v>
      </c>
      <c r="M435" s="5" t="str">
        <f>IF([1]Employees!$I435&gt;=90000, "High", "Low")</f>
        <v>Low</v>
      </c>
      <c r="N435" s="6" t="str" cm="1">
        <f t="array" ref="N435">_xlfn.IFS([1]Employees!$I435&gt;=90000, "High", [1]Employees!$I435&gt;=50000, "Medium", [1]Employees!$I435&lt;50000, "Low")</f>
        <v>Low</v>
      </c>
      <c r="O435" s="15" t="str">
        <f>IF([1]Employees!$I435&gt;=90000, "High", IF([1]Employees!$I435&gt;=50000, "Medium", "Low"))</f>
        <v>Low</v>
      </c>
    </row>
    <row r="436" spans="1:15" x14ac:dyDescent="0.3">
      <c r="A436" s="4" t="s">
        <v>1324</v>
      </c>
      <c r="B436" s="4" t="s">
        <v>52</v>
      </c>
      <c r="C436" s="4" t="s">
        <v>48</v>
      </c>
      <c r="D436" s="4" t="s">
        <v>18</v>
      </c>
      <c r="E436" s="4">
        <v>51</v>
      </c>
      <c r="F436" s="4" t="s">
        <v>19</v>
      </c>
      <c r="G436" s="4" t="s">
        <v>29</v>
      </c>
      <c r="H436" s="4" t="s">
        <v>825</v>
      </c>
      <c r="I436" s="4">
        <v>103930</v>
      </c>
      <c r="J436" s="4" t="s">
        <v>63</v>
      </c>
      <c r="K436" s="4" t="s">
        <v>1325</v>
      </c>
      <c r="L436" s="4" t="s">
        <v>39</v>
      </c>
      <c r="M436" s="5" t="str">
        <f>IF([1]Employees!$I436&gt;=90000, "High", "Low")</f>
        <v>High</v>
      </c>
      <c r="N436" s="6" t="str" cm="1">
        <f t="array" ref="N436">_xlfn.IFS([1]Employees!$I436&gt;=90000, "High", [1]Employees!$I436&gt;=50000, "Medium", [1]Employees!$I436&lt;50000, "Low")</f>
        <v>High</v>
      </c>
      <c r="O436" s="15" t="str">
        <f>IF([1]Employees!$I436&gt;=90000, "High", IF([1]Employees!$I436&gt;=50000, "Medium", "Low"))</f>
        <v>High</v>
      </c>
    </row>
    <row r="437" spans="1:15" x14ac:dyDescent="0.3">
      <c r="A437" s="4" t="s">
        <v>1326</v>
      </c>
      <c r="B437" s="4" t="s">
        <v>146</v>
      </c>
      <c r="C437" s="4" t="s">
        <v>93</v>
      </c>
      <c r="D437" s="4" t="s">
        <v>18</v>
      </c>
      <c r="E437" s="4">
        <v>41</v>
      </c>
      <c r="F437" s="4" t="s">
        <v>28</v>
      </c>
      <c r="G437" s="4" t="s">
        <v>20</v>
      </c>
      <c r="H437" s="4" t="s">
        <v>1044</v>
      </c>
      <c r="I437" s="4">
        <v>83188</v>
      </c>
      <c r="J437" s="4" t="s">
        <v>83</v>
      </c>
      <c r="K437" s="4" t="s">
        <v>1327</v>
      </c>
      <c r="L437" s="4" t="s">
        <v>24</v>
      </c>
      <c r="M437" s="5" t="str">
        <f>IF([1]Employees!$I437&gt;=90000, "High", "Low")</f>
        <v>Low</v>
      </c>
      <c r="N437" s="6" t="str" cm="1">
        <f t="array" ref="N437">_xlfn.IFS([1]Employees!$I437&gt;=90000, "High", [1]Employees!$I437&gt;=50000, "Medium", [1]Employees!$I437&lt;50000, "Low")</f>
        <v>Medium</v>
      </c>
      <c r="O437" s="15" t="str">
        <f>IF([1]Employees!$I437&gt;=90000, "High", IF([1]Employees!$I437&gt;=50000, "Medium", "Low"))</f>
        <v>Medium</v>
      </c>
    </row>
    <row r="438" spans="1:15" x14ac:dyDescent="0.3">
      <c r="A438" s="4" t="s">
        <v>1328</v>
      </c>
      <c r="B438" s="4" t="s">
        <v>16</v>
      </c>
      <c r="C438" s="4" t="s">
        <v>98</v>
      </c>
      <c r="D438" s="4" t="s">
        <v>27</v>
      </c>
      <c r="E438" s="4">
        <v>23</v>
      </c>
      <c r="F438" s="4" t="s">
        <v>42</v>
      </c>
      <c r="G438" s="4" t="s">
        <v>29</v>
      </c>
      <c r="H438" s="4" t="s">
        <v>1329</v>
      </c>
      <c r="I438" s="4">
        <v>50616</v>
      </c>
      <c r="J438" s="4" t="s">
        <v>63</v>
      </c>
      <c r="K438" s="4" t="s">
        <v>1330</v>
      </c>
      <c r="L438" s="4" t="s">
        <v>39</v>
      </c>
      <c r="M438" s="5" t="str">
        <f>IF([1]Employees!$I438&gt;=90000, "High", "Low")</f>
        <v>Low</v>
      </c>
      <c r="N438" s="6" t="str" cm="1">
        <f t="array" ref="N438">_xlfn.IFS([1]Employees!$I438&gt;=90000, "High", [1]Employees!$I438&gt;=50000, "Medium", [1]Employees!$I438&lt;50000, "Low")</f>
        <v>Medium</v>
      </c>
      <c r="O438" s="15" t="str">
        <f>IF([1]Employees!$I438&gt;=90000, "High", IF([1]Employees!$I438&gt;=50000, "Medium", "Low"))</f>
        <v>Medium</v>
      </c>
    </row>
    <row r="439" spans="1:15" x14ac:dyDescent="0.3">
      <c r="A439" s="4" t="s">
        <v>1331</v>
      </c>
      <c r="B439" s="4" t="s">
        <v>97</v>
      </c>
      <c r="C439" s="4" t="s">
        <v>133</v>
      </c>
      <c r="D439" s="4" t="s">
        <v>27</v>
      </c>
      <c r="E439" s="4">
        <v>52</v>
      </c>
      <c r="F439" s="4" t="s">
        <v>42</v>
      </c>
      <c r="G439" s="4" t="s">
        <v>20</v>
      </c>
      <c r="H439" s="4" t="s">
        <v>1332</v>
      </c>
      <c r="I439" s="4">
        <v>80964</v>
      </c>
      <c r="J439" s="4" t="s">
        <v>63</v>
      </c>
      <c r="K439" s="4" t="s">
        <v>1333</v>
      </c>
      <c r="L439" s="4" t="s">
        <v>24</v>
      </c>
      <c r="M439" s="5" t="str">
        <f>IF([1]Employees!$I439&gt;=90000, "High", "Low")</f>
        <v>Low</v>
      </c>
      <c r="N439" s="6" t="str" cm="1">
        <f t="array" ref="N439">_xlfn.IFS([1]Employees!$I439&gt;=90000, "High", [1]Employees!$I439&gt;=50000, "Medium", [1]Employees!$I439&lt;50000, "Low")</f>
        <v>Medium</v>
      </c>
      <c r="O439" s="15" t="str">
        <f>IF([1]Employees!$I439&gt;=90000, "High", IF([1]Employees!$I439&gt;=50000, "Medium", "Low"))</f>
        <v>Medium</v>
      </c>
    </row>
    <row r="440" spans="1:15" x14ac:dyDescent="0.3">
      <c r="A440" s="4" t="s">
        <v>1334</v>
      </c>
      <c r="B440" s="4" t="s">
        <v>41</v>
      </c>
      <c r="C440" s="4" t="s">
        <v>86</v>
      </c>
      <c r="D440" s="4" t="s">
        <v>27</v>
      </c>
      <c r="E440" s="4">
        <v>28</v>
      </c>
      <c r="F440" s="4" t="s">
        <v>42</v>
      </c>
      <c r="G440" s="4" t="s">
        <v>29</v>
      </c>
      <c r="H440" s="4" t="s">
        <v>1335</v>
      </c>
      <c r="I440" s="4">
        <v>38806</v>
      </c>
      <c r="J440" s="4" t="s">
        <v>63</v>
      </c>
      <c r="K440" s="4" t="s">
        <v>1336</v>
      </c>
      <c r="L440" s="4" t="s">
        <v>39</v>
      </c>
      <c r="M440" s="5" t="str">
        <f>IF([1]Employees!$I440&gt;=90000, "High", "Low")</f>
        <v>Low</v>
      </c>
      <c r="N440" s="6" t="str" cm="1">
        <f t="array" ref="N440">_xlfn.IFS([1]Employees!$I440&gt;=90000, "High", [1]Employees!$I440&gt;=50000, "Medium", [1]Employees!$I440&lt;50000, "Low")</f>
        <v>Low</v>
      </c>
      <c r="O440" s="15" t="str">
        <f>IF([1]Employees!$I440&gt;=90000, "High", IF([1]Employees!$I440&gt;=50000, "Medium", "Low"))</f>
        <v>Low</v>
      </c>
    </row>
    <row r="441" spans="1:15" x14ac:dyDescent="0.3">
      <c r="A441" s="4" t="s">
        <v>1337</v>
      </c>
      <c r="B441" s="4" t="s">
        <v>97</v>
      </c>
      <c r="C441" s="4" t="s">
        <v>86</v>
      </c>
      <c r="D441" s="4" t="s">
        <v>18</v>
      </c>
      <c r="E441" s="4">
        <v>29</v>
      </c>
      <c r="F441" s="4" t="s">
        <v>19</v>
      </c>
      <c r="G441" s="4" t="s">
        <v>35</v>
      </c>
      <c r="H441" s="4" t="s">
        <v>822</v>
      </c>
      <c r="I441" s="4">
        <v>71247</v>
      </c>
      <c r="J441" s="4" t="s">
        <v>63</v>
      </c>
      <c r="K441" s="4" t="s">
        <v>1338</v>
      </c>
      <c r="L441" s="4" t="s">
        <v>39</v>
      </c>
      <c r="M441" s="5" t="str">
        <f>IF([1]Employees!$I441&gt;=90000, "High", "Low")</f>
        <v>Low</v>
      </c>
      <c r="N441" s="6" t="str" cm="1">
        <f t="array" ref="N441">_xlfn.IFS([1]Employees!$I441&gt;=90000, "High", [1]Employees!$I441&gt;=50000, "Medium", [1]Employees!$I441&lt;50000, "Low")</f>
        <v>Medium</v>
      </c>
      <c r="O441" s="15" t="str">
        <f>IF([1]Employees!$I441&gt;=90000, "High", IF([1]Employees!$I441&gt;=50000, "Medium", "Low"))</f>
        <v>Medium</v>
      </c>
    </row>
    <row r="442" spans="1:15" x14ac:dyDescent="0.3">
      <c r="A442" s="4" t="s">
        <v>1339</v>
      </c>
      <c r="B442" s="4" t="s">
        <v>61</v>
      </c>
      <c r="C442" s="4" t="s">
        <v>168</v>
      </c>
      <c r="D442" s="4" t="s">
        <v>18</v>
      </c>
      <c r="E442" s="4">
        <v>29</v>
      </c>
      <c r="F442" s="4" t="s">
        <v>42</v>
      </c>
      <c r="G442" s="4" t="s">
        <v>43</v>
      </c>
      <c r="H442" s="4" t="s">
        <v>1340</v>
      </c>
      <c r="I442" s="4">
        <v>109197</v>
      </c>
      <c r="J442" s="4" t="s">
        <v>83</v>
      </c>
      <c r="K442" s="4" t="s">
        <v>1341</v>
      </c>
      <c r="L442" s="4" t="s">
        <v>39</v>
      </c>
      <c r="M442" s="5" t="str">
        <f>IF([1]Employees!$I442&gt;=90000, "High", "Low")</f>
        <v>High</v>
      </c>
      <c r="N442" s="6" t="str" cm="1">
        <f t="array" ref="N442">_xlfn.IFS([1]Employees!$I442&gt;=90000, "High", [1]Employees!$I442&gt;=50000, "Medium", [1]Employees!$I442&lt;50000, "Low")</f>
        <v>High</v>
      </c>
      <c r="O442" s="15" t="str">
        <f>IF([1]Employees!$I442&gt;=90000, "High", IF([1]Employees!$I442&gt;=50000, "Medium", "Low"))</f>
        <v>High</v>
      </c>
    </row>
    <row r="443" spans="1:15" x14ac:dyDescent="0.3">
      <c r="A443" s="4" t="s">
        <v>1342</v>
      </c>
      <c r="B443" s="4" t="s">
        <v>47</v>
      </c>
      <c r="C443" s="4" t="s">
        <v>66</v>
      </c>
      <c r="D443" s="4" t="s">
        <v>27</v>
      </c>
      <c r="E443" s="4">
        <v>47</v>
      </c>
      <c r="F443" s="4" t="s">
        <v>34</v>
      </c>
      <c r="G443" s="4" t="s">
        <v>43</v>
      </c>
      <c r="H443" s="4" t="s">
        <v>1343</v>
      </c>
      <c r="I443" s="4">
        <v>77368</v>
      </c>
      <c r="J443" s="4" t="s">
        <v>22</v>
      </c>
      <c r="K443" s="4" t="s">
        <v>1344</v>
      </c>
      <c r="L443" s="4" t="s">
        <v>24</v>
      </c>
      <c r="M443" s="5" t="str">
        <f>IF([1]Employees!$I443&gt;=90000, "High", "Low")</f>
        <v>Low</v>
      </c>
      <c r="N443" s="6" t="str" cm="1">
        <f t="array" ref="N443">_xlfn.IFS([1]Employees!$I443&gt;=90000, "High", [1]Employees!$I443&gt;=50000, "Medium", [1]Employees!$I443&lt;50000, "Low")</f>
        <v>Medium</v>
      </c>
      <c r="O443" s="15" t="str">
        <f>IF([1]Employees!$I443&gt;=90000, "High", IF([1]Employees!$I443&gt;=50000, "Medium", "Low"))</f>
        <v>Medium</v>
      </c>
    </row>
    <row r="444" spans="1:15" x14ac:dyDescent="0.3">
      <c r="A444" s="4" t="s">
        <v>1345</v>
      </c>
      <c r="B444" s="4" t="s">
        <v>74</v>
      </c>
      <c r="C444" s="4" t="s">
        <v>168</v>
      </c>
      <c r="D444" s="4" t="s">
        <v>27</v>
      </c>
      <c r="E444" s="4">
        <v>41</v>
      </c>
      <c r="F444" s="4" t="s">
        <v>19</v>
      </c>
      <c r="G444" s="4" t="s">
        <v>35</v>
      </c>
      <c r="H444" s="4" t="s">
        <v>1346</v>
      </c>
      <c r="I444" s="4">
        <v>62102</v>
      </c>
      <c r="J444" s="4" t="s">
        <v>83</v>
      </c>
      <c r="K444" s="4" t="s">
        <v>1347</v>
      </c>
      <c r="L444" s="4" t="s">
        <v>39</v>
      </c>
      <c r="M444" s="5" t="str">
        <f>IF([1]Employees!$I444&gt;=90000, "High", "Low")</f>
        <v>Low</v>
      </c>
      <c r="N444" s="6" t="str" cm="1">
        <f t="array" ref="N444">_xlfn.IFS([1]Employees!$I444&gt;=90000, "High", [1]Employees!$I444&gt;=50000, "Medium", [1]Employees!$I444&lt;50000, "Low")</f>
        <v>Medium</v>
      </c>
      <c r="O444" s="15" t="str">
        <f>IF([1]Employees!$I444&gt;=90000, "High", IF([1]Employees!$I444&gt;=50000, "Medium", "Low"))</f>
        <v>Medium</v>
      </c>
    </row>
    <row r="445" spans="1:15" x14ac:dyDescent="0.3">
      <c r="A445" s="4" t="s">
        <v>1348</v>
      </c>
      <c r="B445" s="4" t="s">
        <v>47</v>
      </c>
      <c r="C445" s="4" t="s">
        <v>17</v>
      </c>
      <c r="D445" s="4" t="s">
        <v>27</v>
      </c>
      <c r="E445" s="4">
        <v>40</v>
      </c>
      <c r="F445" s="4" t="s">
        <v>19</v>
      </c>
      <c r="G445" s="4" t="s">
        <v>43</v>
      </c>
      <c r="H445" s="4" t="s">
        <v>1349</v>
      </c>
      <c r="I445" s="4">
        <v>66499</v>
      </c>
      <c r="J445" s="4" t="s">
        <v>83</v>
      </c>
      <c r="K445" s="4" t="s">
        <v>1350</v>
      </c>
      <c r="L445" s="4" t="s">
        <v>24</v>
      </c>
      <c r="M445" s="5" t="str">
        <f>IF([1]Employees!$I445&gt;=90000, "High", "Low")</f>
        <v>Low</v>
      </c>
      <c r="N445" s="6" t="str" cm="1">
        <f t="array" ref="N445">_xlfn.IFS([1]Employees!$I445&gt;=90000, "High", [1]Employees!$I445&gt;=50000, "Medium", [1]Employees!$I445&lt;50000, "Low")</f>
        <v>Medium</v>
      </c>
      <c r="O445" s="15" t="str">
        <f>IF([1]Employees!$I445&gt;=90000, "High", IF([1]Employees!$I445&gt;=50000, "Medium", "Low"))</f>
        <v>Medium</v>
      </c>
    </row>
    <row r="446" spans="1:15" x14ac:dyDescent="0.3">
      <c r="A446" s="4" t="s">
        <v>1351</v>
      </c>
      <c r="B446" s="4" t="s">
        <v>16</v>
      </c>
      <c r="C446" s="4" t="s">
        <v>26</v>
      </c>
      <c r="D446" s="4" t="s">
        <v>27</v>
      </c>
      <c r="E446" s="4">
        <v>47</v>
      </c>
      <c r="F446" s="4" t="s">
        <v>34</v>
      </c>
      <c r="G446" s="4" t="s">
        <v>111</v>
      </c>
      <c r="H446" s="4" t="s">
        <v>1352</v>
      </c>
      <c r="I446" s="4">
        <v>114326</v>
      </c>
      <c r="J446" s="4" t="s">
        <v>37</v>
      </c>
      <c r="K446" s="4" t="s">
        <v>1353</v>
      </c>
      <c r="L446" s="4" t="s">
        <v>39</v>
      </c>
      <c r="M446" s="5" t="str">
        <f>IF([1]Employees!$I446&gt;=90000, "High", "Low")</f>
        <v>High</v>
      </c>
      <c r="N446" s="6" t="str" cm="1">
        <f t="array" ref="N446">_xlfn.IFS([1]Employees!$I446&gt;=90000, "High", [1]Employees!$I446&gt;=50000, "Medium", [1]Employees!$I446&lt;50000, "Low")</f>
        <v>High</v>
      </c>
      <c r="O446" s="15" t="str">
        <f>IF([1]Employees!$I446&gt;=90000, "High", IF([1]Employees!$I446&gt;=50000, "Medium", "Low"))</f>
        <v>High</v>
      </c>
    </row>
    <row r="447" spans="1:15" x14ac:dyDescent="0.3">
      <c r="A447" s="4" t="s">
        <v>1354</v>
      </c>
      <c r="B447" s="4" t="s">
        <v>57</v>
      </c>
      <c r="C447" s="4" t="s">
        <v>81</v>
      </c>
      <c r="D447" s="4" t="s">
        <v>18</v>
      </c>
      <c r="E447" s="4">
        <v>49</v>
      </c>
      <c r="F447" s="4" t="s">
        <v>28</v>
      </c>
      <c r="G447" s="4" t="s">
        <v>35</v>
      </c>
      <c r="H447" s="4" t="s">
        <v>1355</v>
      </c>
      <c r="I447" s="4">
        <v>98144</v>
      </c>
      <c r="J447" s="4" t="s">
        <v>68</v>
      </c>
      <c r="K447" s="4" t="s">
        <v>1356</v>
      </c>
      <c r="L447" s="4" t="s">
        <v>39</v>
      </c>
      <c r="M447" s="5" t="str">
        <f>IF([1]Employees!$I447&gt;=90000, "High", "Low")</f>
        <v>High</v>
      </c>
      <c r="N447" s="6" t="str" cm="1">
        <f t="array" ref="N447">_xlfn.IFS([1]Employees!$I447&gt;=90000, "High", [1]Employees!$I447&gt;=50000, "Medium", [1]Employees!$I447&lt;50000, "Low")</f>
        <v>High</v>
      </c>
      <c r="O447" s="15" t="str">
        <f>IF([1]Employees!$I447&gt;=90000, "High", IF([1]Employees!$I447&gt;=50000, "Medium", "Low"))</f>
        <v>High</v>
      </c>
    </row>
    <row r="448" spans="1:15" x14ac:dyDescent="0.3">
      <c r="A448" s="4" t="s">
        <v>1357</v>
      </c>
      <c r="B448" s="4" t="s">
        <v>146</v>
      </c>
      <c r="C448" s="4" t="s">
        <v>98</v>
      </c>
      <c r="D448" s="4" t="s">
        <v>18</v>
      </c>
      <c r="E448" s="4">
        <v>50</v>
      </c>
      <c r="F448" s="4" t="s">
        <v>53</v>
      </c>
      <c r="G448" s="4" t="s">
        <v>43</v>
      </c>
      <c r="H448" s="4" t="s">
        <v>1358</v>
      </c>
      <c r="I448" s="4">
        <v>61804</v>
      </c>
      <c r="J448" s="4" t="s">
        <v>63</v>
      </c>
      <c r="K448" s="4" t="s">
        <v>1359</v>
      </c>
      <c r="L448" s="4" t="s">
        <v>24</v>
      </c>
      <c r="M448" s="5" t="str">
        <f>IF([1]Employees!$I448&gt;=90000, "High", "Low")</f>
        <v>Low</v>
      </c>
      <c r="N448" s="6" t="str" cm="1">
        <f t="array" ref="N448">_xlfn.IFS([1]Employees!$I448&gt;=90000, "High", [1]Employees!$I448&gt;=50000, "Medium", [1]Employees!$I448&lt;50000, "Low")</f>
        <v>Medium</v>
      </c>
      <c r="O448" s="15" t="str">
        <f>IF([1]Employees!$I448&gt;=90000, "High", IF([1]Employees!$I448&gt;=50000, "Medium", "Low"))</f>
        <v>Medium</v>
      </c>
    </row>
    <row r="449" spans="1:15" x14ac:dyDescent="0.3">
      <c r="A449" s="4" t="s">
        <v>1360</v>
      </c>
      <c r="B449" s="4" t="s">
        <v>97</v>
      </c>
      <c r="C449" s="4" t="s">
        <v>133</v>
      </c>
      <c r="D449" s="4" t="s">
        <v>18</v>
      </c>
      <c r="E449" s="4">
        <v>24</v>
      </c>
      <c r="F449" s="4" t="s">
        <v>19</v>
      </c>
      <c r="G449" s="4" t="s">
        <v>35</v>
      </c>
      <c r="H449" s="4" t="s">
        <v>1361</v>
      </c>
      <c r="I449" s="4">
        <v>42829</v>
      </c>
      <c r="J449" s="4" t="s">
        <v>83</v>
      </c>
      <c r="K449" s="4" t="s">
        <v>1362</v>
      </c>
      <c r="L449" s="4" t="s">
        <v>24</v>
      </c>
      <c r="M449" s="5" t="str">
        <f>IF([1]Employees!$I449&gt;=90000, "High", "Low")</f>
        <v>Low</v>
      </c>
      <c r="N449" s="6" t="str" cm="1">
        <f t="array" ref="N449">_xlfn.IFS([1]Employees!$I449&gt;=90000, "High", [1]Employees!$I449&gt;=50000, "Medium", [1]Employees!$I449&lt;50000, "Low")</f>
        <v>Low</v>
      </c>
      <c r="O449" s="15" t="str">
        <f>IF([1]Employees!$I449&gt;=90000, "High", IF([1]Employees!$I449&gt;=50000, "Medium", "Low"))</f>
        <v>Low</v>
      </c>
    </row>
    <row r="450" spans="1:15" x14ac:dyDescent="0.3">
      <c r="A450" s="4" t="s">
        <v>1363</v>
      </c>
      <c r="B450" s="4" t="s">
        <v>16</v>
      </c>
      <c r="C450" s="4" t="s">
        <v>48</v>
      </c>
      <c r="D450" s="4" t="s">
        <v>27</v>
      </c>
      <c r="E450" s="4">
        <v>39</v>
      </c>
      <c r="F450" s="4" t="s">
        <v>53</v>
      </c>
      <c r="G450" s="4" t="s">
        <v>111</v>
      </c>
      <c r="H450" s="4" t="s">
        <v>1364</v>
      </c>
      <c r="I450" s="4">
        <v>55874</v>
      </c>
      <c r="J450" s="4" t="s">
        <v>63</v>
      </c>
      <c r="K450" s="4" t="s">
        <v>1365</v>
      </c>
      <c r="L450" s="4" t="s">
        <v>39</v>
      </c>
      <c r="M450" s="5" t="str">
        <f>IF([1]Employees!$I450&gt;=90000, "High", "Low")</f>
        <v>Low</v>
      </c>
      <c r="N450" s="6" t="str" cm="1">
        <f t="array" ref="N450">_xlfn.IFS([1]Employees!$I450&gt;=90000, "High", [1]Employees!$I450&gt;=50000, "Medium", [1]Employees!$I450&lt;50000, "Low")</f>
        <v>Medium</v>
      </c>
      <c r="O450" s="15" t="str">
        <f>IF([1]Employees!$I450&gt;=90000, "High", IF([1]Employees!$I450&gt;=50000, "Medium", "Low"))</f>
        <v>Medium</v>
      </c>
    </row>
    <row r="451" spans="1:15" x14ac:dyDescent="0.3">
      <c r="A451" s="4" t="s">
        <v>1366</v>
      </c>
      <c r="B451" s="4" t="s">
        <v>52</v>
      </c>
      <c r="C451" s="4" t="s">
        <v>81</v>
      </c>
      <c r="D451" s="4" t="s">
        <v>18</v>
      </c>
      <c r="E451" s="4">
        <v>48</v>
      </c>
      <c r="F451" s="4" t="s">
        <v>34</v>
      </c>
      <c r="G451" s="4" t="s">
        <v>111</v>
      </c>
      <c r="H451" s="4" t="s">
        <v>1367</v>
      </c>
      <c r="I451" s="4">
        <v>110269</v>
      </c>
      <c r="J451" s="4" t="s">
        <v>68</v>
      </c>
      <c r="K451" s="4" t="s">
        <v>1368</v>
      </c>
      <c r="L451" s="4" t="s">
        <v>39</v>
      </c>
      <c r="M451" s="5" t="str">
        <f>IF([1]Employees!$I451&gt;=90000, "High", "Low")</f>
        <v>High</v>
      </c>
      <c r="N451" s="6" t="str" cm="1">
        <f t="array" ref="N451">_xlfn.IFS([1]Employees!$I451&gt;=90000, "High", [1]Employees!$I451&gt;=50000, "Medium", [1]Employees!$I451&lt;50000, "Low")</f>
        <v>High</v>
      </c>
      <c r="O451" s="15" t="str">
        <f>IF([1]Employees!$I451&gt;=90000, "High", IF([1]Employees!$I451&gt;=50000, "Medium", "Low"))</f>
        <v>High</v>
      </c>
    </row>
    <row r="452" spans="1:15" x14ac:dyDescent="0.3">
      <c r="A452" s="4" t="s">
        <v>1369</v>
      </c>
      <c r="B452" s="4" t="s">
        <v>74</v>
      </c>
      <c r="C452" s="4" t="s">
        <v>168</v>
      </c>
      <c r="D452" s="4" t="s">
        <v>18</v>
      </c>
      <c r="E452" s="4">
        <v>49</v>
      </c>
      <c r="F452" s="4" t="s">
        <v>53</v>
      </c>
      <c r="G452" s="4" t="s">
        <v>20</v>
      </c>
      <c r="H452" s="4" t="s">
        <v>1370</v>
      </c>
      <c r="I452" s="4">
        <v>97118</v>
      </c>
      <c r="J452" s="4" t="s">
        <v>68</v>
      </c>
      <c r="K452" s="4" t="s">
        <v>1371</v>
      </c>
      <c r="L452" s="4" t="s">
        <v>39</v>
      </c>
      <c r="M452" s="5" t="str">
        <f>IF([1]Employees!$I452&gt;=90000, "High", "Low")</f>
        <v>High</v>
      </c>
      <c r="N452" s="6" t="str" cm="1">
        <f t="array" ref="N452">_xlfn.IFS([1]Employees!$I452&gt;=90000, "High", [1]Employees!$I452&gt;=50000, "Medium", [1]Employees!$I452&lt;50000, "Low")</f>
        <v>High</v>
      </c>
      <c r="O452" s="15" t="str">
        <f>IF([1]Employees!$I452&gt;=90000, "High", IF([1]Employees!$I452&gt;=50000, "Medium", "Low"))</f>
        <v>High</v>
      </c>
    </row>
    <row r="453" spans="1:15" x14ac:dyDescent="0.3">
      <c r="A453" s="4" t="s">
        <v>1372</v>
      </c>
      <c r="B453" s="4" t="s">
        <v>52</v>
      </c>
      <c r="C453" s="4" t="s">
        <v>26</v>
      </c>
      <c r="D453" s="4" t="s">
        <v>18</v>
      </c>
      <c r="E453" s="4">
        <v>25</v>
      </c>
      <c r="F453" s="4" t="s">
        <v>53</v>
      </c>
      <c r="G453" s="4" t="s">
        <v>111</v>
      </c>
      <c r="H453" s="4" t="s">
        <v>1373</v>
      </c>
      <c r="I453" s="4">
        <v>73245</v>
      </c>
      <c r="J453" s="4" t="s">
        <v>37</v>
      </c>
      <c r="K453" s="4" t="s">
        <v>1374</v>
      </c>
      <c r="L453" s="4" t="s">
        <v>39</v>
      </c>
      <c r="M453" s="5" t="str">
        <f>IF([1]Employees!$I453&gt;=90000, "High", "Low")</f>
        <v>Low</v>
      </c>
      <c r="N453" s="6" t="str" cm="1">
        <f t="array" ref="N453">_xlfn.IFS([1]Employees!$I453&gt;=90000, "High", [1]Employees!$I453&gt;=50000, "Medium", [1]Employees!$I453&lt;50000, "Low")</f>
        <v>Medium</v>
      </c>
      <c r="O453" s="15" t="str">
        <f>IF([1]Employees!$I453&gt;=90000, "High", IF([1]Employees!$I453&gt;=50000, "Medium", "Low"))</f>
        <v>Medium</v>
      </c>
    </row>
    <row r="454" spans="1:15" x14ac:dyDescent="0.3">
      <c r="A454" s="4" t="s">
        <v>1375</v>
      </c>
      <c r="B454" s="4" t="s">
        <v>41</v>
      </c>
      <c r="C454" s="4" t="s">
        <v>133</v>
      </c>
      <c r="D454" s="4" t="s">
        <v>18</v>
      </c>
      <c r="E454" s="4">
        <v>53</v>
      </c>
      <c r="F454" s="4" t="s">
        <v>53</v>
      </c>
      <c r="G454" s="4" t="s">
        <v>111</v>
      </c>
      <c r="H454" s="4" t="s">
        <v>1376</v>
      </c>
      <c r="I454" s="4">
        <v>35589</v>
      </c>
      <c r="J454" s="4" t="s">
        <v>63</v>
      </c>
      <c r="K454" s="4" t="s">
        <v>1377</v>
      </c>
      <c r="L454" s="4" t="s">
        <v>39</v>
      </c>
      <c r="M454" s="5" t="str">
        <f>IF([1]Employees!$I454&gt;=90000, "High", "Low")</f>
        <v>Low</v>
      </c>
      <c r="N454" s="6" t="str" cm="1">
        <f t="array" ref="N454">_xlfn.IFS([1]Employees!$I454&gt;=90000, "High", [1]Employees!$I454&gt;=50000, "Medium", [1]Employees!$I454&lt;50000, "Low")</f>
        <v>Low</v>
      </c>
      <c r="O454" s="15" t="str">
        <f>IF([1]Employees!$I454&gt;=90000, "High", IF([1]Employees!$I454&gt;=50000, "Medium", "Low"))</f>
        <v>Low</v>
      </c>
    </row>
    <row r="455" spans="1:15" x14ac:dyDescent="0.3">
      <c r="A455" s="4" t="s">
        <v>1378</v>
      </c>
      <c r="B455" s="4" t="s">
        <v>33</v>
      </c>
      <c r="C455" s="4" t="s">
        <v>93</v>
      </c>
      <c r="D455" s="4" t="s">
        <v>27</v>
      </c>
      <c r="E455" s="4">
        <v>35</v>
      </c>
      <c r="F455" s="4" t="s">
        <v>42</v>
      </c>
      <c r="G455" s="4" t="s">
        <v>43</v>
      </c>
      <c r="H455" s="4" t="s">
        <v>1379</v>
      </c>
      <c r="I455" s="4">
        <v>79751</v>
      </c>
      <c r="J455" s="4" t="s">
        <v>22</v>
      </c>
      <c r="K455" s="4" t="s">
        <v>1380</v>
      </c>
      <c r="L455" s="4" t="s">
        <v>24</v>
      </c>
      <c r="M455" s="5" t="str">
        <f>IF([1]Employees!$I455&gt;=90000, "High", "Low")</f>
        <v>Low</v>
      </c>
      <c r="N455" s="6" t="str" cm="1">
        <f t="array" ref="N455">_xlfn.IFS([1]Employees!$I455&gt;=90000, "High", [1]Employees!$I455&gt;=50000, "Medium", [1]Employees!$I455&lt;50000, "Low")</f>
        <v>Medium</v>
      </c>
      <c r="O455" s="15" t="str">
        <f>IF([1]Employees!$I455&gt;=90000, "High", IF([1]Employees!$I455&gt;=50000, "Medium", "Low"))</f>
        <v>Medium</v>
      </c>
    </row>
    <row r="456" spans="1:15" x14ac:dyDescent="0.3">
      <c r="A456" s="4" t="s">
        <v>1381</v>
      </c>
      <c r="B456" s="4" t="s">
        <v>146</v>
      </c>
      <c r="C456" s="4" t="s">
        <v>17</v>
      </c>
      <c r="D456" s="4" t="s">
        <v>27</v>
      </c>
      <c r="E456" s="4">
        <v>53</v>
      </c>
      <c r="F456" s="4" t="s">
        <v>28</v>
      </c>
      <c r="G456" s="4" t="s">
        <v>111</v>
      </c>
      <c r="H456" s="4" t="s">
        <v>1382</v>
      </c>
      <c r="I456" s="4">
        <v>67994</v>
      </c>
      <c r="J456" s="4" t="s">
        <v>37</v>
      </c>
      <c r="K456" s="4" t="s">
        <v>1383</v>
      </c>
      <c r="L456" s="4" t="s">
        <v>24</v>
      </c>
      <c r="M456" s="5" t="str">
        <f>IF([1]Employees!$I456&gt;=90000, "High", "Low")</f>
        <v>Low</v>
      </c>
      <c r="N456" s="6" t="str" cm="1">
        <f t="array" ref="N456">_xlfn.IFS([1]Employees!$I456&gt;=90000, "High", [1]Employees!$I456&gt;=50000, "Medium", [1]Employees!$I456&lt;50000, "Low")</f>
        <v>Medium</v>
      </c>
      <c r="O456" s="15" t="str">
        <f>IF([1]Employees!$I456&gt;=90000, "High", IF([1]Employees!$I456&gt;=50000, "Medium", "Low"))</f>
        <v>Medium</v>
      </c>
    </row>
    <row r="457" spans="1:15" x14ac:dyDescent="0.3">
      <c r="A457" s="4" t="s">
        <v>1384</v>
      </c>
      <c r="B457" s="4" t="s">
        <v>146</v>
      </c>
      <c r="C457" s="4" t="s">
        <v>81</v>
      </c>
      <c r="D457" s="4" t="s">
        <v>27</v>
      </c>
      <c r="E457" s="4">
        <v>28</v>
      </c>
      <c r="F457" s="4" t="s">
        <v>42</v>
      </c>
      <c r="G457" s="4" t="s">
        <v>29</v>
      </c>
      <c r="H457" s="4" t="s">
        <v>1385</v>
      </c>
      <c r="I457" s="4">
        <v>51178</v>
      </c>
      <c r="J457" s="4" t="s">
        <v>22</v>
      </c>
      <c r="K457" s="4" t="s">
        <v>1386</v>
      </c>
      <c r="L457" s="4" t="s">
        <v>24</v>
      </c>
      <c r="M457" s="5" t="str">
        <f>IF([1]Employees!$I457&gt;=90000, "High", "Low")</f>
        <v>Low</v>
      </c>
      <c r="N457" s="6" t="str" cm="1">
        <f t="array" ref="N457">_xlfn.IFS([1]Employees!$I457&gt;=90000, "High", [1]Employees!$I457&gt;=50000, "Medium", [1]Employees!$I457&lt;50000, "Low")</f>
        <v>Medium</v>
      </c>
      <c r="O457" s="15" t="str">
        <f>IF([1]Employees!$I457&gt;=90000, "High", IF([1]Employees!$I457&gt;=50000, "Medium", "Low"))</f>
        <v>Medium</v>
      </c>
    </row>
    <row r="458" spans="1:15" x14ac:dyDescent="0.3">
      <c r="A458" s="4" t="s">
        <v>1387</v>
      </c>
      <c r="B458" s="4" t="s">
        <v>47</v>
      </c>
      <c r="C458" s="4" t="s">
        <v>168</v>
      </c>
      <c r="D458" s="4" t="s">
        <v>18</v>
      </c>
      <c r="E458" s="4">
        <v>29</v>
      </c>
      <c r="F458" s="4" t="s">
        <v>19</v>
      </c>
      <c r="G458" s="4" t="s">
        <v>111</v>
      </c>
      <c r="H458" s="4" t="s">
        <v>1388</v>
      </c>
      <c r="I458" s="4">
        <v>40759</v>
      </c>
      <c r="J458" s="4" t="s">
        <v>68</v>
      </c>
      <c r="K458" s="4" t="s">
        <v>1389</v>
      </c>
      <c r="L458" s="4" t="s">
        <v>24</v>
      </c>
      <c r="M458" s="5" t="str">
        <f>IF([1]Employees!$I458&gt;=90000, "High", "Low")</f>
        <v>Low</v>
      </c>
      <c r="N458" s="6" t="str" cm="1">
        <f t="array" ref="N458">_xlfn.IFS([1]Employees!$I458&gt;=90000, "High", [1]Employees!$I458&gt;=50000, "Medium", [1]Employees!$I458&lt;50000, "Low")</f>
        <v>Low</v>
      </c>
      <c r="O458" s="15" t="str">
        <f>IF([1]Employees!$I458&gt;=90000, "High", IF([1]Employees!$I458&gt;=50000, "Medium", "Low"))</f>
        <v>Low</v>
      </c>
    </row>
    <row r="459" spans="1:15" x14ac:dyDescent="0.3">
      <c r="A459" s="4" t="s">
        <v>1390</v>
      </c>
      <c r="B459" s="4" t="s">
        <v>41</v>
      </c>
      <c r="C459" s="4" t="s">
        <v>81</v>
      </c>
      <c r="D459" s="4" t="s">
        <v>18</v>
      </c>
      <c r="E459" s="4">
        <v>32</v>
      </c>
      <c r="F459" s="4" t="s">
        <v>19</v>
      </c>
      <c r="G459" s="4" t="s">
        <v>29</v>
      </c>
      <c r="H459" s="4" t="s">
        <v>1391</v>
      </c>
      <c r="I459" s="4">
        <v>98394</v>
      </c>
      <c r="J459" s="4" t="s">
        <v>22</v>
      </c>
      <c r="K459" s="4" t="s">
        <v>1392</v>
      </c>
      <c r="L459" s="4" t="s">
        <v>39</v>
      </c>
      <c r="M459" s="5" t="str">
        <f>IF([1]Employees!$I459&gt;=90000, "High", "Low")</f>
        <v>High</v>
      </c>
      <c r="N459" s="6" t="str" cm="1">
        <f t="array" ref="N459">_xlfn.IFS([1]Employees!$I459&gt;=90000, "High", [1]Employees!$I459&gt;=50000, "Medium", [1]Employees!$I459&lt;50000, "Low")</f>
        <v>High</v>
      </c>
      <c r="O459" s="15" t="str">
        <f>IF([1]Employees!$I459&gt;=90000, "High", IF([1]Employees!$I459&gt;=50000, "Medium", "Low"))</f>
        <v>High</v>
      </c>
    </row>
    <row r="460" spans="1:15" x14ac:dyDescent="0.3">
      <c r="A460" s="4" t="s">
        <v>1393</v>
      </c>
      <c r="B460" s="4" t="s">
        <v>57</v>
      </c>
      <c r="C460" s="4" t="s">
        <v>17</v>
      </c>
      <c r="D460" s="4" t="s">
        <v>18</v>
      </c>
      <c r="E460" s="4">
        <v>37</v>
      </c>
      <c r="F460" s="4" t="s">
        <v>53</v>
      </c>
      <c r="G460" s="4" t="s">
        <v>35</v>
      </c>
      <c r="H460" s="4" t="s">
        <v>1394</v>
      </c>
      <c r="I460" s="4">
        <v>90148</v>
      </c>
      <c r="J460" s="4" t="s">
        <v>68</v>
      </c>
      <c r="K460" s="4" t="s">
        <v>1395</v>
      </c>
      <c r="L460" s="4" t="s">
        <v>24</v>
      </c>
      <c r="M460" s="5" t="str">
        <f>IF([1]Employees!$I460&gt;=90000, "High", "Low")</f>
        <v>High</v>
      </c>
      <c r="N460" s="6" t="str" cm="1">
        <f t="array" ref="N460">_xlfn.IFS([1]Employees!$I460&gt;=90000, "High", [1]Employees!$I460&gt;=50000, "Medium", [1]Employees!$I460&lt;50000, "Low")</f>
        <v>High</v>
      </c>
      <c r="O460" s="15" t="str">
        <f>IF([1]Employees!$I460&gt;=90000, "High", IF([1]Employees!$I460&gt;=50000, "Medium", "Low"))</f>
        <v>High</v>
      </c>
    </row>
    <row r="461" spans="1:15" x14ac:dyDescent="0.3">
      <c r="A461" s="4" t="s">
        <v>1396</v>
      </c>
      <c r="B461" s="4" t="s">
        <v>33</v>
      </c>
      <c r="C461" s="4" t="s">
        <v>48</v>
      </c>
      <c r="D461" s="4" t="s">
        <v>27</v>
      </c>
      <c r="E461" s="4">
        <v>32</v>
      </c>
      <c r="F461" s="4" t="s">
        <v>34</v>
      </c>
      <c r="G461" s="4" t="s">
        <v>20</v>
      </c>
      <c r="H461" s="4" t="s">
        <v>463</v>
      </c>
      <c r="I461" s="4">
        <v>63176</v>
      </c>
      <c r="J461" s="4" t="s">
        <v>37</v>
      </c>
      <c r="K461" s="4" t="s">
        <v>1397</v>
      </c>
      <c r="L461" s="4" t="s">
        <v>24</v>
      </c>
      <c r="M461" s="5" t="str">
        <f>IF([1]Employees!$I461&gt;=90000, "High", "Low")</f>
        <v>Low</v>
      </c>
      <c r="N461" s="6" t="str" cm="1">
        <f t="array" ref="N461">_xlfn.IFS([1]Employees!$I461&gt;=90000, "High", [1]Employees!$I461&gt;=50000, "Medium", [1]Employees!$I461&lt;50000, "Low")</f>
        <v>Medium</v>
      </c>
      <c r="O461" s="15" t="str">
        <f>IF([1]Employees!$I461&gt;=90000, "High", IF([1]Employees!$I461&gt;=50000, "Medium", "Low"))</f>
        <v>Medium</v>
      </c>
    </row>
    <row r="462" spans="1:15" x14ac:dyDescent="0.3">
      <c r="A462" s="4" t="s">
        <v>1398</v>
      </c>
      <c r="B462" s="4" t="s">
        <v>97</v>
      </c>
      <c r="C462" s="4" t="s">
        <v>93</v>
      </c>
      <c r="D462" s="4" t="s">
        <v>27</v>
      </c>
      <c r="E462" s="4">
        <v>55</v>
      </c>
      <c r="F462" s="4" t="s">
        <v>28</v>
      </c>
      <c r="G462" s="4" t="s">
        <v>29</v>
      </c>
      <c r="H462" s="4" t="s">
        <v>1399</v>
      </c>
      <c r="I462" s="4">
        <v>86434</v>
      </c>
      <c r="J462" s="4" t="s">
        <v>68</v>
      </c>
      <c r="K462" s="4" t="s">
        <v>1400</v>
      </c>
      <c r="L462" s="4" t="s">
        <v>39</v>
      </c>
      <c r="M462" s="5" t="str">
        <f>IF([1]Employees!$I462&gt;=90000, "High", "Low")</f>
        <v>Low</v>
      </c>
      <c r="N462" s="6" t="str" cm="1">
        <f t="array" ref="N462">_xlfn.IFS([1]Employees!$I462&gt;=90000, "High", [1]Employees!$I462&gt;=50000, "Medium", [1]Employees!$I462&lt;50000, "Low")</f>
        <v>Medium</v>
      </c>
      <c r="O462" s="15" t="str">
        <f>IF([1]Employees!$I462&gt;=90000, "High", IF([1]Employees!$I462&gt;=50000, "Medium", "Low"))</f>
        <v>Medium</v>
      </c>
    </row>
    <row r="463" spans="1:15" x14ac:dyDescent="0.3">
      <c r="A463" s="4" t="s">
        <v>1401</v>
      </c>
      <c r="B463" s="4" t="s">
        <v>146</v>
      </c>
      <c r="C463" s="4" t="s">
        <v>93</v>
      </c>
      <c r="D463" s="4" t="s">
        <v>18</v>
      </c>
      <c r="E463" s="4">
        <v>42</v>
      </c>
      <c r="F463" s="4" t="s">
        <v>42</v>
      </c>
      <c r="G463" s="4" t="s">
        <v>20</v>
      </c>
      <c r="H463" s="4" t="s">
        <v>1402</v>
      </c>
      <c r="I463" s="4">
        <v>70836</v>
      </c>
      <c r="J463" s="4" t="s">
        <v>68</v>
      </c>
      <c r="K463" s="4" t="s">
        <v>1403</v>
      </c>
      <c r="L463" s="4" t="s">
        <v>39</v>
      </c>
      <c r="M463" s="5" t="str">
        <f>IF([1]Employees!$I463&gt;=90000, "High", "Low")</f>
        <v>Low</v>
      </c>
      <c r="N463" s="6" t="str" cm="1">
        <f t="array" ref="N463">_xlfn.IFS([1]Employees!$I463&gt;=90000, "High", [1]Employees!$I463&gt;=50000, "Medium", [1]Employees!$I463&lt;50000, "Low")</f>
        <v>Medium</v>
      </c>
      <c r="O463" s="15" t="str">
        <f>IF([1]Employees!$I463&gt;=90000, "High", IF([1]Employees!$I463&gt;=50000, "Medium", "Low"))</f>
        <v>Medium</v>
      </c>
    </row>
    <row r="464" spans="1:15" x14ac:dyDescent="0.3">
      <c r="A464" s="4" t="s">
        <v>1404</v>
      </c>
      <c r="B464" s="4" t="s">
        <v>41</v>
      </c>
      <c r="C464" s="4" t="s">
        <v>98</v>
      </c>
      <c r="D464" s="4" t="s">
        <v>27</v>
      </c>
      <c r="E464" s="4">
        <v>49</v>
      </c>
      <c r="F464" s="4" t="s">
        <v>34</v>
      </c>
      <c r="G464" s="4" t="s">
        <v>35</v>
      </c>
      <c r="H464" s="4" t="s">
        <v>1405</v>
      </c>
      <c r="I464" s="4">
        <v>40805</v>
      </c>
      <c r="J464" s="4" t="s">
        <v>22</v>
      </c>
      <c r="K464" s="4" t="s">
        <v>1406</v>
      </c>
      <c r="L464" s="4" t="s">
        <v>24</v>
      </c>
      <c r="M464" s="5" t="str">
        <f>IF([1]Employees!$I464&gt;=90000, "High", "Low")</f>
        <v>Low</v>
      </c>
      <c r="N464" s="6" t="str" cm="1">
        <f t="array" ref="N464">_xlfn.IFS([1]Employees!$I464&gt;=90000, "High", [1]Employees!$I464&gt;=50000, "Medium", [1]Employees!$I464&lt;50000, "Low")</f>
        <v>Low</v>
      </c>
      <c r="O464" s="15" t="str">
        <f>IF([1]Employees!$I464&gt;=90000, "High", IF([1]Employees!$I464&gt;=50000, "Medium", "Low"))</f>
        <v>Low</v>
      </c>
    </row>
    <row r="465" spans="1:15" x14ac:dyDescent="0.3">
      <c r="A465" s="4" t="s">
        <v>1407</v>
      </c>
      <c r="B465" s="4" t="s">
        <v>47</v>
      </c>
      <c r="C465" s="4" t="s">
        <v>168</v>
      </c>
      <c r="D465" s="4" t="s">
        <v>27</v>
      </c>
      <c r="E465" s="4">
        <v>23</v>
      </c>
      <c r="F465" s="4" t="s">
        <v>19</v>
      </c>
      <c r="G465" s="4" t="s">
        <v>43</v>
      </c>
      <c r="H465" s="4" t="s">
        <v>1408</v>
      </c>
      <c r="I465" s="4">
        <v>117635</v>
      </c>
      <c r="J465" s="4" t="s">
        <v>37</v>
      </c>
      <c r="K465" s="4" t="s">
        <v>1409</v>
      </c>
      <c r="L465" s="4" t="s">
        <v>24</v>
      </c>
      <c r="M465" s="5" t="str">
        <f>IF([1]Employees!$I465&gt;=90000, "High", "Low")</f>
        <v>High</v>
      </c>
      <c r="N465" s="6" t="str" cm="1">
        <f t="array" ref="N465">_xlfn.IFS([1]Employees!$I465&gt;=90000, "High", [1]Employees!$I465&gt;=50000, "Medium", [1]Employees!$I465&lt;50000, "Low")</f>
        <v>High</v>
      </c>
      <c r="O465" s="15" t="str">
        <f>IF([1]Employees!$I465&gt;=90000, "High", IF([1]Employees!$I465&gt;=50000, "Medium", "Low"))</f>
        <v>High</v>
      </c>
    </row>
    <row r="466" spans="1:15" x14ac:dyDescent="0.3">
      <c r="A466" s="4" t="s">
        <v>1410</v>
      </c>
      <c r="B466" s="4" t="s">
        <v>16</v>
      </c>
      <c r="C466" s="4" t="s">
        <v>86</v>
      </c>
      <c r="D466" s="4" t="s">
        <v>27</v>
      </c>
      <c r="E466" s="4">
        <v>45</v>
      </c>
      <c r="F466" s="4" t="s">
        <v>53</v>
      </c>
      <c r="G466" s="4" t="s">
        <v>43</v>
      </c>
      <c r="H466" s="4" t="s">
        <v>1411</v>
      </c>
      <c r="I466" s="4">
        <v>100678</v>
      </c>
      <c r="J466" s="4" t="s">
        <v>22</v>
      </c>
      <c r="K466" s="4" t="s">
        <v>1412</v>
      </c>
      <c r="L466" s="4" t="s">
        <v>39</v>
      </c>
      <c r="M466" s="5" t="str">
        <f>IF([1]Employees!$I466&gt;=90000, "High", "Low")</f>
        <v>High</v>
      </c>
      <c r="N466" s="6" t="str" cm="1">
        <f t="array" ref="N466">_xlfn.IFS([1]Employees!$I466&gt;=90000, "High", [1]Employees!$I466&gt;=50000, "Medium", [1]Employees!$I466&lt;50000, "Low")</f>
        <v>High</v>
      </c>
      <c r="O466" s="15" t="str">
        <f>IF([1]Employees!$I466&gt;=90000, "High", IF([1]Employees!$I466&gt;=50000, "Medium", "Low"))</f>
        <v>High</v>
      </c>
    </row>
    <row r="467" spans="1:15" x14ac:dyDescent="0.3">
      <c r="A467" s="4" t="s">
        <v>1413</v>
      </c>
      <c r="B467" s="4" t="s">
        <v>33</v>
      </c>
      <c r="C467" s="4" t="s">
        <v>98</v>
      </c>
      <c r="D467" s="4" t="s">
        <v>27</v>
      </c>
      <c r="E467" s="4">
        <v>39</v>
      </c>
      <c r="F467" s="4" t="s">
        <v>19</v>
      </c>
      <c r="G467" s="4" t="s">
        <v>111</v>
      </c>
      <c r="H467" s="4" t="s">
        <v>1414</v>
      </c>
      <c r="I467" s="4">
        <v>76443</v>
      </c>
      <c r="J467" s="4" t="s">
        <v>68</v>
      </c>
      <c r="K467" s="4" t="s">
        <v>1415</v>
      </c>
      <c r="L467" s="4" t="s">
        <v>39</v>
      </c>
      <c r="M467" s="5" t="str">
        <f>IF([1]Employees!$I467&gt;=90000, "High", "Low")</f>
        <v>Low</v>
      </c>
      <c r="N467" s="6" t="str" cm="1">
        <f t="array" ref="N467">_xlfn.IFS([1]Employees!$I467&gt;=90000, "High", [1]Employees!$I467&gt;=50000, "Medium", [1]Employees!$I467&lt;50000, "Low")</f>
        <v>Medium</v>
      </c>
      <c r="O467" s="15" t="str">
        <f>IF([1]Employees!$I467&gt;=90000, "High", IF([1]Employees!$I467&gt;=50000, "Medium", "Low"))</f>
        <v>Medium</v>
      </c>
    </row>
    <row r="468" spans="1:15" x14ac:dyDescent="0.3">
      <c r="A468" s="4" t="s">
        <v>1416</v>
      </c>
      <c r="B468" s="4" t="s">
        <v>33</v>
      </c>
      <c r="C468" s="4" t="s">
        <v>93</v>
      </c>
      <c r="D468" s="4" t="s">
        <v>27</v>
      </c>
      <c r="E468" s="4">
        <v>44</v>
      </c>
      <c r="F468" s="4" t="s">
        <v>53</v>
      </c>
      <c r="G468" s="4" t="s">
        <v>29</v>
      </c>
      <c r="H468" s="4" t="s">
        <v>1417</v>
      </c>
      <c r="I468" s="4">
        <v>98210</v>
      </c>
      <c r="J468" s="4" t="s">
        <v>37</v>
      </c>
      <c r="K468" s="4" t="s">
        <v>1418</v>
      </c>
      <c r="L468" s="4" t="s">
        <v>24</v>
      </c>
      <c r="M468" s="5" t="str">
        <f>IF([1]Employees!$I468&gt;=90000, "High", "Low")</f>
        <v>High</v>
      </c>
      <c r="N468" s="6" t="str" cm="1">
        <f t="array" ref="N468">_xlfn.IFS([1]Employees!$I468&gt;=90000, "High", [1]Employees!$I468&gt;=50000, "Medium", [1]Employees!$I468&lt;50000, "Low")</f>
        <v>High</v>
      </c>
      <c r="O468" s="15" t="str">
        <f>IF([1]Employees!$I468&gt;=90000, "High", IF([1]Employees!$I468&gt;=50000, "Medium", "Low"))</f>
        <v>High</v>
      </c>
    </row>
    <row r="469" spans="1:15" x14ac:dyDescent="0.3">
      <c r="A469" s="4" t="s">
        <v>1419</v>
      </c>
      <c r="B469" s="4" t="s">
        <v>33</v>
      </c>
      <c r="C469" s="4" t="s">
        <v>86</v>
      </c>
      <c r="D469" s="4" t="s">
        <v>27</v>
      </c>
      <c r="E469" s="4">
        <v>60</v>
      </c>
      <c r="F469" s="4" t="s">
        <v>19</v>
      </c>
      <c r="G469" s="4" t="s">
        <v>43</v>
      </c>
      <c r="H469" s="4" t="s">
        <v>1420</v>
      </c>
      <c r="I469" s="4">
        <v>83719</v>
      </c>
      <c r="J469" s="4" t="s">
        <v>37</v>
      </c>
      <c r="K469" s="4" t="s">
        <v>1421</v>
      </c>
      <c r="L469" s="4" t="s">
        <v>39</v>
      </c>
      <c r="M469" s="5" t="str">
        <f>IF([1]Employees!$I469&gt;=90000, "High", "Low")</f>
        <v>Low</v>
      </c>
      <c r="N469" s="6" t="str" cm="1">
        <f t="array" ref="N469">_xlfn.IFS([1]Employees!$I469&gt;=90000, "High", [1]Employees!$I469&gt;=50000, "Medium", [1]Employees!$I469&lt;50000, "Low")</f>
        <v>Medium</v>
      </c>
      <c r="O469" s="15" t="str">
        <f>IF([1]Employees!$I469&gt;=90000, "High", IF([1]Employees!$I469&gt;=50000, "Medium", "Low"))</f>
        <v>Medium</v>
      </c>
    </row>
    <row r="470" spans="1:15" x14ac:dyDescent="0.3">
      <c r="A470" s="4" t="s">
        <v>1422</v>
      </c>
      <c r="B470" s="4" t="s">
        <v>52</v>
      </c>
      <c r="C470" s="4" t="s">
        <v>17</v>
      </c>
      <c r="D470" s="4" t="s">
        <v>27</v>
      </c>
      <c r="E470" s="4">
        <v>53</v>
      </c>
      <c r="F470" s="4" t="s">
        <v>28</v>
      </c>
      <c r="G470" s="4" t="s">
        <v>29</v>
      </c>
      <c r="H470" s="4" t="s">
        <v>1423</v>
      </c>
      <c r="I470" s="4">
        <v>50965</v>
      </c>
      <c r="J470" s="4" t="s">
        <v>63</v>
      </c>
      <c r="K470" s="4" t="s">
        <v>1424</v>
      </c>
      <c r="L470" s="4" t="s">
        <v>24</v>
      </c>
      <c r="M470" s="5" t="str">
        <f>IF([1]Employees!$I470&gt;=90000, "High", "Low")</f>
        <v>Low</v>
      </c>
      <c r="N470" s="6" t="str" cm="1">
        <f t="array" ref="N470">_xlfn.IFS([1]Employees!$I470&gt;=90000, "High", [1]Employees!$I470&gt;=50000, "Medium", [1]Employees!$I470&lt;50000, "Low")</f>
        <v>Medium</v>
      </c>
      <c r="O470" s="15" t="str">
        <f>IF([1]Employees!$I470&gt;=90000, "High", IF([1]Employees!$I470&gt;=50000, "Medium", "Low"))</f>
        <v>Medium</v>
      </c>
    </row>
    <row r="471" spans="1:15" x14ac:dyDescent="0.3">
      <c r="A471" s="4" t="s">
        <v>1425</v>
      </c>
      <c r="B471" s="4" t="s">
        <v>97</v>
      </c>
      <c r="C471" s="4" t="s">
        <v>66</v>
      </c>
      <c r="D471" s="4" t="s">
        <v>27</v>
      </c>
      <c r="E471" s="4">
        <v>60</v>
      </c>
      <c r="F471" s="4" t="s">
        <v>53</v>
      </c>
      <c r="G471" s="4" t="s">
        <v>29</v>
      </c>
      <c r="H471" s="4" t="s">
        <v>1426</v>
      </c>
      <c r="I471" s="4">
        <v>113605</v>
      </c>
      <c r="J471" s="4" t="s">
        <v>63</v>
      </c>
      <c r="K471" s="4" t="s">
        <v>1427</v>
      </c>
      <c r="L471" s="4" t="s">
        <v>24</v>
      </c>
      <c r="M471" s="5" t="str">
        <f>IF([1]Employees!$I471&gt;=90000, "High", "Low")</f>
        <v>High</v>
      </c>
      <c r="N471" s="6" t="str" cm="1">
        <f t="array" ref="N471">_xlfn.IFS([1]Employees!$I471&gt;=90000, "High", [1]Employees!$I471&gt;=50000, "Medium", [1]Employees!$I471&lt;50000, "Low")</f>
        <v>High</v>
      </c>
      <c r="O471" s="15" t="str">
        <f>IF([1]Employees!$I471&gt;=90000, "High", IF([1]Employees!$I471&gt;=50000, "Medium", "Low"))</f>
        <v>High</v>
      </c>
    </row>
    <row r="472" spans="1:15" x14ac:dyDescent="0.3">
      <c r="A472" s="4" t="s">
        <v>1428</v>
      </c>
      <c r="B472" s="4" t="s">
        <v>61</v>
      </c>
      <c r="C472" s="4" t="s">
        <v>81</v>
      </c>
      <c r="D472" s="4" t="s">
        <v>18</v>
      </c>
      <c r="E472" s="4">
        <v>57</v>
      </c>
      <c r="F472" s="4" t="s">
        <v>42</v>
      </c>
      <c r="G472" s="4" t="s">
        <v>43</v>
      </c>
      <c r="H472" s="4" t="s">
        <v>326</v>
      </c>
      <c r="I472" s="4">
        <v>80135</v>
      </c>
      <c r="J472" s="4" t="s">
        <v>37</v>
      </c>
      <c r="K472" s="4" t="s">
        <v>1429</v>
      </c>
      <c r="L472" s="4" t="s">
        <v>24</v>
      </c>
      <c r="M472" s="5" t="str">
        <f>IF([1]Employees!$I472&gt;=90000, "High", "Low")</f>
        <v>Low</v>
      </c>
      <c r="N472" s="6" t="str" cm="1">
        <f t="array" ref="N472">_xlfn.IFS([1]Employees!$I472&gt;=90000, "High", [1]Employees!$I472&gt;=50000, "Medium", [1]Employees!$I472&lt;50000, "Low")</f>
        <v>Medium</v>
      </c>
      <c r="O472" s="15" t="str">
        <f>IF([1]Employees!$I472&gt;=90000, "High", IF([1]Employees!$I472&gt;=50000, "Medium", "Low"))</f>
        <v>Medium</v>
      </c>
    </row>
    <row r="473" spans="1:15" x14ac:dyDescent="0.3">
      <c r="A473" s="4" t="s">
        <v>1430</v>
      </c>
      <c r="B473" s="4" t="s">
        <v>74</v>
      </c>
      <c r="C473" s="4" t="s">
        <v>26</v>
      </c>
      <c r="D473" s="4" t="s">
        <v>27</v>
      </c>
      <c r="E473" s="4">
        <v>53</v>
      </c>
      <c r="F473" s="4" t="s">
        <v>53</v>
      </c>
      <c r="G473" s="4" t="s">
        <v>111</v>
      </c>
      <c r="H473" s="4" t="s">
        <v>1431</v>
      </c>
      <c r="I473" s="4">
        <v>56690</v>
      </c>
      <c r="J473" s="4" t="s">
        <v>63</v>
      </c>
      <c r="K473" s="4" t="s">
        <v>1432</v>
      </c>
      <c r="L473" s="4" t="s">
        <v>24</v>
      </c>
      <c r="M473" s="5" t="str">
        <f>IF([1]Employees!$I473&gt;=90000, "High", "Low")</f>
        <v>Low</v>
      </c>
      <c r="N473" s="6" t="str" cm="1">
        <f t="array" ref="N473">_xlfn.IFS([1]Employees!$I473&gt;=90000, "High", [1]Employees!$I473&gt;=50000, "Medium", [1]Employees!$I473&lt;50000, "Low")</f>
        <v>Medium</v>
      </c>
      <c r="O473" s="15" t="str">
        <f>IF([1]Employees!$I473&gt;=90000, "High", IF([1]Employees!$I473&gt;=50000, "Medium", "Low"))</f>
        <v>Medium</v>
      </c>
    </row>
    <row r="474" spans="1:15" x14ac:dyDescent="0.3">
      <c r="A474" s="4" t="s">
        <v>1433</v>
      </c>
      <c r="B474" s="4" t="s">
        <v>52</v>
      </c>
      <c r="C474" s="4" t="s">
        <v>48</v>
      </c>
      <c r="D474" s="4" t="s">
        <v>27</v>
      </c>
      <c r="E474" s="4">
        <v>30</v>
      </c>
      <c r="F474" s="4" t="s">
        <v>53</v>
      </c>
      <c r="G474" s="4" t="s">
        <v>35</v>
      </c>
      <c r="H474" s="4" t="s">
        <v>246</v>
      </c>
      <c r="I474" s="4">
        <v>40070</v>
      </c>
      <c r="J474" s="4" t="s">
        <v>83</v>
      </c>
      <c r="K474" s="4" t="s">
        <v>1434</v>
      </c>
      <c r="L474" s="4" t="s">
        <v>24</v>
      </c>
      <c r="M474" s="5" t="str">
        <f>IF([1]Employees!$I474&gt;=90000, "High", "Low")</f>
        <v>Low</v>
      </c>
      <c r="N474" s="6" t="str" cm="1">
        <f t="array" ref="N474">_xlfn.IFS([1]Employees!$I474&gt;=90000, "High", [1]Employees!$I474&gt;=50000, "Medium", [1]Employees!$I474&lt;50000, "Low")</f>
        <v>Low</v>
      </c>
      <c r="O474" s="15" t="str">
        <f>IF([1]Employees!$I474&gt;=90000, "High", IF([1]Employees!$I474&gt;=50000, "Medium", "Low"))</f>
        <v>Low</v>
      </c>
    </row>
    <row r="475" spans="1:15" x14ac:dyDescent="0.3">
      <c r="A475" s="4" t="s">
        <v>1435</v>
      </c>
      <c r="B475" s="4" t="s">
        <v>33</v>
      </c>
      <c r="C475" s="4" t="s">
        <v>168</v>
      </c>
      <c r="D475" s="4" t="s">
        <v>27</v>
      </c>
      <c r="E475" s="4">
        <v>57</v>
      </c>
      <c r="F475" s="4" t="s">
        <v>19</v>
      </c>
      <c r="G475" s="4" t="s">
        <v>43</v>
      </c>
      <c r="H475" s="4" t="s">
        <v>1436</v>
      </c>
      <c r="I475" s="4">
        <v>83252</v>
      </c>
      <c r="J475" s="4" t="s">
        <v>63</v>
      </c>
      <c r="K475" s="4" t="s">
        <v>1437</v>
      </c>
      <c r="L475" s="4" t="s">
        <v>24</v>
      </c>
      <c r="M475" s="5" t="str">
        <f>IF([1]Employees!$I475&gt;=90000, "High", "Low")</f>
        <v>Low</v>
      </c>
      <c r="N475" s="6" t="str" cm="1">
        <f t="array" ref="N475">_xlfn.IFS([1]Employees!$I475&gt;=90000, "High", [1]Employees!$I475&gt;=50000, "Medium", [1]Employees!$I475&lt;50000, "Low")</f>
        <v>Medium</v>
      </c>
      <c r="O475" s="15" t="str">
        <f>IF([1]Employees!$I475&gt;=90000, "High", IF([1]Employees!$I475&gt;=50000, "Medium", "Low"))</f>
        <v>Medium</v>
      </c>
    </row>
    <row r="476" spans="1:15" x14ac:dyDescent="0.3">
      <c r="A476" s="4" t="s">
        <v>1438</v>
      </c>
      <c r="B476" s="4" t="s">
        <v>74</v>
      </c>
      <c r="C476" s="4" t="s">
        <v>93</v>
      </c>
      <c r="D476" s="4" t="s">
        <v>27</v>
      </c>
      <c r="E476" s="4">
        <v>48</v>
      </c>
      <c r="F476" s="4" t="s">
        <v>34</v>
      </c>
      <c r="G476" s="4" t="s">
        <v>43</v>
      </c>
      <c r="H476" s="4" t="s">
        <v>1199</v>
      </c>
      <c r="I476" s="4">
        <v>66939</v>
      </c>
      <c r="J476" s="4" t="s">
        <v>22</v>
      </c>
      <c r="K476" s="4" t="s">
        <v>1439</v>
      </c>
      <c r="L476" s="4" t="s">
        <v>39</v>
      </c>
      <c r="M476" s="5" t="str">
        <f>IF([1]Employees!$I476&gt;=90000, "High", "Low")</f>
        <v>Low</v>
      </c>
      <c r="N476" s="6" t="str" cm="1">
        <f t="array" ref="N476">_xlfn.IFS([1]Employees!$I476&gt;=90000, "High", [1]Employees!$I476&gt;=50000, "Medium", [1]Employees!$I476&lt;50000, "Low")</f>
        <v>Medium</v>
      </c>
      <c r="O476" s="15" t="str">
        <f>IF([1]Employees!$I476&gt;=90000, "High", IF([1]Employees!$I476&gt;=50000, "Medium", "Low"))</f>
        <v>Medium</v>
      </c>
    </row>
    <row r="477" spans="1:15" x14ac:dyDescent="0.3">
      <c r="A477" s="4" t="s">
        <v>1440</v>
      </c>
      <c r="B477" s="4" t="s">
        <v>16</v>
      </c>
      <c r="C477" s="4" t="s">
        <v>93</v>
      </c>
      <c r="D477" s="4" t="s">
        <v>27</v>
      </c>
      <c r="E477" s="4">
        <v>58</v>
      </c>
      <c r="F477" s="4" t="s">
        <v>34</v>
      </c>
      <c r="G477" s="4" t="s">
        <v>20</v>
      </c>
      <c r="H477" s="4" t="s">
        <v>1441</v>
      </c>
      <c r="I477" s="4">
        <v>51367</v>
      </c>
      <c r="J477" s="4" t="s">
        <v>68</v>
      </c>
      <c r="K477" s="4" t="s">
        <v>1442</v>
      </c>
      <c r="L477" s="4" t="s">
        <v>24</v>
      </c>
      <c r="M477" s="5" t="str">
        <f>IF([1]Employees!$I477&gt;=90000, "High", "Low")</f>
        <v>Low</v>
      </c>
      <c r="N477" s="6" t="str" cm="1">
        <f t="array" ref="N477">_xlfn.IFS([1]Employees!$I477&gt;=90000, "High", [1]Employees!$I477&gt;=50000, "Medium", [1]Employees!$I477&lt;50000, "Low")</f>
        <v>Medium</v>
      </c>
      <c r="O477" s="15" t="str">
        <f>IF([1]Employees!$I477&gt;=90000, "High", IF([1]Employees!$I477&gt;=50000, "Medium", "Low"))</f>
        <v>Medium</v>
      </c>
    </row>
    <row r="478" spans="1:15" x14ac:dyDescent="0.3">
      <c r="A478" s="4" t="s">
        <v>1443</v>
      </c>
      <c r="B478" s="4" t="s">
        <v>146</v>
      </c>
      <c r="C478" s="4" t="s">
        <v>98</v>
      </c>
      <c r="D478" s="4" t="s">
        <v>18</v>
      </c>
      <c r="E478" s="4">
        <v>60</v>
      </c>
      <c r="F478" s="4" t="s">
        <v>34</v>
      </c>
      <c r="G478" s="4" t="s">
        <v>20</v>
      </c>
      <c r="H478" s="4" t="s">
        <v>1444</v>
      </c>
      <c r="I478" s="4">
        <v>94212</v>
      </c>
      <c r="J478" s="4" t="s">
        <v>37</v>
      </c>
      <c r="K478" s="4" t="s">
        <v>1445</v>
      </c>
      <c r="L478" s="4" t="s">
        <v>24</v>
      </c>
      <c r="M478" s="5" t="str">
        <f>IF([1]Employees!$I478&gt;=90000, "High", "Low")</f>
        <v>High</v>
      </c>
      <c r="N478" s="6" t="str" cm="1">
        <f t="array" ref="N478">_xlfn.IFS([1]Employees!$I478&gt;=90000, "High", [1]Employees!$I478&gt;=50000, "Medium", [1]Employees!$I478&lt;50000, "Low")</f>
        <v>High</v>
      </c>
      <c r="O478" s="15" t="str">
        <f>IF([1]Employees!$I478&gt;=90000, "High", IF([1]Employees!$I478&gt;=50000, "Medium", "Low"))</f>
        <v>High</v>
      </c>
    </row>
    <row r="479" spans="1:15" x14ac:dyDescent="0.3">
      <c r="A479" s="4" t="s">
        <v>1446</v>
      </c>
      <c r="B479" s="4" t="s">
        <v>47</v>
      </c>
      <c r="C479" s="4" t="s">
        <v>133</v>
      </c>
      <c r="D479" s="4" t="s">
        <v>27</v>
      </c>
      <c r="E479" s="4">
        <v>44</v>
      </c>
      <c r="F479" s="4" t="s">
        <v>53</v>
      </c>
      <c r="G479" s="4" t="s">
        <v>43</v>
      </c>
      <c r="H479" s="4" t="s">
        <v>1003</v>
      </c>
      <c r="I479" s="4">
        <v>47411</v>
      </c>
      <c r="J479" s="4" t="s">
        <v>63</v>
      </c>
      <c r="K479" s="4" t="s">
        <v>1447</v>
      </c>
      <c r="L479" s="4" t="s">
        <v>39</v>
      </c>
      <c r="M479" s="5" t="str">
        <f>IF([1]Employees!$I479&gt;=90000, "High", "Low")</f>
        <v>Low</v>
      </c>
      <c r="N479" s="6" t="str" cm="1">
        <f t="array" ref="N479">_xlfn.IFS([1]Employees!$I479&gt;=90000, "High", [1]Employees!$I479&gt;=50000, "Medium", [1]Employees!$I479&lt;50000, "Low")</f>
        <v>Low</v>
      </c>
      <c r="O479" s="15" t="str">
        <f>IF([1]Employees!$I479&gt;=90000, "High", IF([1]Employees!$I479&gt;=50000, "Medium", "Low"))</f>
        <v>Low</v>
      </c>
    </row>
    <row r="480" spans="1:15" x14ac:dyDescent="0.3">
      <c r="A480" s="4" t="s">
        <v>1448</v>
      </c>
      <c r="B480" s="4" t="s">
        <v>57</v>
      </c>
      <c r="C480" s="4" t="s">
        <v>26</v>
      </c>
      <c r="D480" s="4" t="s">
        <v>18</v>
      </c>
      <c r="E480" s="4">
        <v>49</v>
      </c>
      <c r="F480" s="4" t="s">
        <v>34</v>
      </c>
      <c r="G480" s="4" t="s">
        <v>29</v>
      </c>
      <c r="H480" s="4" t="s">
        <v>1449</v>
      </c>
      <c r="I480" s="4">
        <v>67896</v>
      </c>
      <c r="J480" s="4" t="s">
        <v>37</v>
      </c>
      <c r="K480" s="4" t="s">
        <v>1450</v>
      </c>
      <c r="L480" s="4" t="s">
        <v>39</v>
      </c>
      <c r="M480" s="5" t="str">
        <f>IF([1]Employees!$I480&gt;=90000, "High", "Low")</f>
        <v>Low</v>
      </c>
      <c r="N480" s="6" t="str" cm="1">
        <f t="array" ref="N480">_xlfn.IFS([1]Employees!$I480&gt;=90000, "High", [1]Employees!$I480&gt;=50000, "Medium", [1]Employees!$I480&lt;50000, "Low")</f>
        <v>Medium</v>
      </c>
      <c r="O480" s="15" t="str">
        <f>IF([1]Employees!$I480&gt;=90000, "High", IF([1]Employees!$I480&gt;=50000, "Medium", "Low"))</f>
        <v>Medium</v>
      </c>
    </row>
    <row r="481" spans="1:15" x14ac:dyDescent="0.3">
      <c r="A481" s="4" t="s">
        <v>1451</v>
      </c>
      <c r="B481" s="4" t="s">
        <v>52</v>
      </c>
      <c r="C481" s="4" t="s">
        <v>168</v>
      </c>
      <c r="D481" s="4" t="s">
        <v>27</v>
      </c>
      <c r="E481" s="4">
        <v>58</v>
      </c>
      <c r="F481" s="4" t="s">
        <v>42</v>
      </c>
      <c r="G481" s="4" t="s">
        <v>43</v>
      </c>
      <c r="H481" s="4" t="s">
        <v>1452</v>
      </c>
      <c r="I481" s="4">
        <v>81285</v>
      </c>
      <c r="J481" s="4" t="s">
        <v>37</v>
      </c>
      <c r="K481" s="4" t="s">
        <v>1453</v>
      </c>
      <c r="L481" s="4" t="s">
        <v>24</v>
      </c>
      <c r="M481" s="5" t="str">
        <f>IF([1]Employees!$I481&gt;=90000, "High", "Low")</f>
        <v>Low</v>
      </c>
      <c r="N481" s="6" t="str" cm="1">
        <f t="array" ref="N481">_xlfn.IFS([1]Employees!$I481&gt;=90000, "High", [1]Employees!$I481&gt;=50000, "Medium", [1]Employees!$I481&lt;50000, "Low")</f>
        <v>Medium</v>
      </c>
      <c r="O481" s="15" t="str">
        <f>IF([1]Employees!$I481&gt;=90000, "High", IF([1]Employees!$I481&gt;=50000, "Medium", "Low"))</f>
        <v>Medium</v>
      </c>
    </row>
    <row r="482" spans="1:15" x14ac:dyDescent="0.3">
      <c r="A482" s="4" t="s">
        <v>1454</v>
      </c>
      <c r="B482" s="4" t="s">
        <v>52</v>
      </c>
      <c r="C482" s="4" t="s">
        <v>66</v>
      </c>
      <c r="D482" s="4" t="s">
        <v>18</v>
      </c>
      <c r="E482" s="4">
        <v>53</v>
      </c>
      <c r="F482" s="4" t="s">
        <v>42</v>
      </c>
      <c r="G482" s="4" t="s">
        <v>111</v>
      </c>
      <c r="H482" s="4" t="s">
        <v>1455</v>
      </c>
      <c r="I482" s="4">
        <v>100041</v>
      </c>
      <c r="J482" s="4" t="s">
        <v>22</v>
      </c>
      <c r="K482" s="4" t="s">
        <v>1456</v>
      </c>
      <c r="L482" s="4" t="s">
        <v>24</v>
      </c>
      <c r="M482" s="5" t="str">
        <f>IF([1]Employees!$I482&gt;=90000, "High", "Low")</f>
        <v>High</v>
      </c>
      <c r="N482" s="6" t="str" cm="1">
        <f t="array" ref="N482">_xlfn.IFS([1]Employees!$I482&gt;=90000, "High", [1]Employees!$I482&gt;=50000, "Medium", [1]Employees!$I482&lt;50000, "Low")</f>
        <v>High</v>
      </c>
      <c r="O482" s="15" t="str">
        <f>IF([1]Employees!$I482&gt;=90000, "High", IF([1]Employees!$I482&gt;=50000, "Medium", "Low"))</f>
        <v>High</v>
      </c>
    </row>
    <row r="483" spans="1:15" x14ac:dyDescent="0.3">
      <c r="A483" s="4" t="s">
        <v>1457</v>
      </c>
      <c r="B483" s="4" t="s">
        <v>16</v>
      </c>
      <c r="C483" s="4" t="s">
        <v>86</v>
      </c>
      <c r="D483" s="4" t="s">
        <v>27</v>
      </c>
      <c r="E483" s="4">
        <v>48</v>
      </c>
      <c r="F483" s="4" t="s">
        <v>42</v>
      </c>
      <c r="G483" s="4" t="s">
        <v>111</v>
      </c>
      <c r="H483" s="4" t="s">
        <v>1458</v>
      </c>
      <c r="I483" s="4">
        <v>88033</v>
      </c>
      <c r="J483" s="4" t="s">
        <v>83</v>
      </c>
      <c r="K483" s="4" t="s">
        <v>1459</v>
      </c>
      <c r="L483" s="4" t="s">
        <v>24</v>
      </c>
      <c r="M483" s="5" t="str">
        <f>IF([1]Employees!$I483&gt;=90000, "High", "Low")</f>
        <v>Low</v>
      </c>
      <c r="N483" s="6" t="str" cm="1">
        <f t="array" ref="N483">_xlfn.IFS([1]Employees!$I483&gt;=90000, "High", [1]Employees!$I483&gt;=50000, "Medium", [1]Employees!$I483&lt;50000, "Low")</f>
        <v>Medium</v>
      </c>
      <c r="O483" s="15" t="str">
        <f>IF([1]Employees!$I483&gt;=90000, "High", IF([1]Employees!$I483&gt;=50000, "Medium", "Low"))</f>
        <v>Medium</v>
      </c>
    </row>
    <row r="484" spans="1:15" x14ac:dyDescent="0.3">
      <c r="A484" s="4" t="s">
        <v>1460</v>
      </c>
      <c r="B484" s="4" t="s">
        <v>41</v>
      </c>
      <c r="C484" s="4" t="s">
        <v>48</v>
      </c>
      <c r="D484" s="4" t="s">
        <v>18</v>
      </c>
      <c r="E484" s="4">
        <v>40</v>
      </c>
      <c r="F484" s="4" t="s">
        <v>34</v>
      </c>
      <c r="G484" s="4" t="s">
        <v>111</v>
      </c>
      <c r="H484" s="4" t="s">
        <v>1461</v>
      </c>
      <c r="I484" s="4">
        <v>71291</v>
      </c>
      <c r="J484" s="4" t="s">
        <v>37</v>
      </c>
      <c r="K484" s="4" t="s">
        <v>1462</v>
      </c>
      <c r="L484" s="4" t="s">
        <v>39</v>
      </c>
      <c r="M484" s="5" t="str">
        <f>IF([1]Employees!$I484&gt;=90000, "High", "Low")</f>
        <v>Low</v>
      </c>
      <c r="N484" s="6" t="str" cm="1">
        <f t="array" ref="N484">_xlfn.IFS([1]Employees!$I484&gt;=90000, "High", [1]Employees!$I484&gt;=50000, "Medium", [1]Employees!$I484&lt;50000, "Low")</f>
        <v>Medium</v>
      </c>
      <c r="O484" s="15" t="str">
        <f>IF([1]Employees!$I484&gt;=90000, "High", IF([1]Employees!$I484&gt;=50000, "Medium", "Low"))</f>
        <v>Medium</v>
      </c>
    </row>
    <row r="485" spans="1:15" x14ac:dyDescent="0.3">
      <c r="A485" s="4" t="s">
        <v>1463</v>
      </c>
      <c r="B485" s="4" t="s">
        <v>146</v>
      </c>
      <c r="C485" s="4" t="s">
        <v>48</v>
      </c>
      <c r="D485" s="4" t="s">
        <v>18</v>
      </c>
      <c r="E485" s="4">
        <v>27</v>
      </c>
      <c r="F485" s="4" t="s">
        <v>28</v>
      </c>
      <c r="G485" s="4" t="s">
        <v>43</v>
      </c>
      <c r="H485" s="4" t="s">
        <v>1464</v>
      </c>
      <c r="I485" s="4">
        <v>48563</v>
      </c>
      <c r="J485" s="4" t="s">
        <v>37</v>
      </c>
      <c r="K485" s="4" t="s">
        <v>1465</v>
      </c>
      <c r="L485" s="4" t="s">
        <v>39</v>
      </c>
      <c r="M485" s="5" t="str">
        <f>IF([1]Employees!$I485&gt;=90000, "High", "Low")</f>
        <v>Low</v>
      </c>
      <c r="N485" s="6" t="str" cm="1">
        <f t="array" ref="N485">_xlfn.IFS([1]Employees!$I485&gt;=90000, "High", [1]Employees!$I485&gt;=50000, "Medium", [1]Employees!$I485&lt;50000, "Low")</f>
        <v>Low</v>
      </c>
      <c r="O485" s="15" t="str">
        <f>IF([1]Employees!$I485&gt;=90000, "High", IF([1]Employees!$I485&gt;=50000, "Medium", "Low"))</f>
        <v>Low</v>
      </c>
    </row>
    <row r="486" spans="1:15" x14ac:dyDescent="0.3">
      <c r="A486" s="4" t="s">
        <v>1466</v>
      </c>
      <c r="B486" s="4" t="s">
        <v>61</v>
      </c>
      <c r="C486" s="4" t="s">
        <v>48</v>
      </c>
      <c r="D486" s="4" t="s">
        <v>27</v>
      </c>
      <c r="E486" s="4">
        <v>37</v>
      </c>
      <c r="F486" s="4" t="s">
        <v>28</v>
      </c>
      <c r="G486" s="4" t="s">
        <v>35</v>
      </c>
      <c r="H486" s="4" t="s">
        <v>1467</v>
      </c>
      <c r="I486" s="4">
        <v>71454</v>
      </c>
      <c r="J486" s="4" t="s">
        <v>22</v>
      </c>
      <c r="K486" s="4" t="s">
        <v>1468</v>
      </c>
      <c r="L486" s="4" t="s">
        <v>24</v>
      </c>
      <c r="M486" s="5" t="str">
        <f>IF([1]Employees!$I486&gt;=90000, "High", "Low")</f>
        <v>Low</v>
      </c>
      <c r="N486" s="6" t="str" cm="1">
        <f t="array" ref="N486">_xlfn.IFS([1]Employees!$I486&gt;=90000, "High", [1]Employees!$I486&gt;=50000, "Medium", [1]Employees!$I486&lt;50000, "Low")</f>
        <v>Medium</v>
      </c>
      <c r="O486" s="15" t="str">
        <f>IF([1]Employees!$I486&gt;=90000, "High", IF([1]Employees!$I486&gt;=50000, "Medium", "Low"))</f>
        <v>Medium</v>
      </c>
    </row>
    <row r="487" spans="1:15" x14ac:dyDescent="0.3">
      <c r="A487" s="4" t="s">
        <v>1469</v>
      </c>
      <c r="B487" s="4" t="s">
        <v>97</v>
      </c>
      <c r="C487" s="4" t="s">
        <v>66</v>
      </c>
      <c r="D487" s="4" t="s">
        <v>27</v>
      </c>
      <c r="E487" s="4">
        <v>39</v>
      </c>
      <c r="F487" s="4" t="s">
        <v>28</v>
      </c>
      <c r="G487" s="4" t="s">
        <v>35</v>
      </c>
      <c r="H487" s="4" t="s">
        <v>1470</v>
      </c>
      <c r="I487" s="4">
        <v>44271</v>
      </c>
      <c r="J487" s="4" t="s">
        <v>37</v>
      </c>
      <c r="K487" s="4" t="s">
        <v>1471</v>
      </c>
      <c r="L487" s="4" t="s">
        <v>39</v>
      </c>
      <c r="M487" s="5" t="str">
        <f>IF([1]Employees!$I487&gt;=90000, "High", "Low")</f>
        <v>Low</v>
      </c>
      <c r="N487" s="6" t="str" cm="1">
        <f t="array" ref="N487">_xlfn.IFS([1]Employees!$I487&gt;=90000, "High", [1]Employees!$I487&gt;=50000, "Medium", [1]Employees!$I487&lt;50000, "Low")</f>
        <v>Low</v>
      </c>
      <c r="O487" s="15" t="str">
        <f>IF([1]Employees!$I487&gt;=90000, "High", IF([1]Employees!$I487&gt;=50000, "Medium", "Low"))</f>
        <v>Low</v>
      </c>
    </row>
    <row r="488" spans="1:15" x14ac:dyDescent="0.3">
      <c r="A488" s="4" t="s">
        <v>1472</v>
      </c>
      <c r="B488" s="4" t="s">
        <v>41</v>
      </c>
      <c r="C488" s="4" t="s">
        <v>17</v>
      </c>
      <c r="D488" s="4" t="s">
        <v>18</v>
      </c>
      <c r="E488" s="4">
        <v>56</v>
      </c>
      <c r="F488" s="4" t="s">
        <v>19</v>
      </c>
      <c r="G488" s="4" t="s">
        <v>20</v>
      </c>
      <c r="H488" s="4" t="s">
        <v>1473</v>
      </c>
      <c r="I488" s="4">
        <v>93401</v>
      </c>
      <c r="J488" s="4" t="s">
        <v>68</v>
      </c>
      <c r="K488" s="4" t="s">
        <v>1474</v>
      </c>
      <c r="L488" s="4" t="s">
        <v>24</v>
      </c>
      <c r="M488" s="5" t="str">
        <f>IF([1]Employees!$I488&gt;=90000, "High", "Low")</f>
        <v>High</v>
      </c>
      <c r="N488" s="6" t="str" cm="1">
        <f t="array" ref="N488">_xlfn.IFS([1]Employees!$I488&gt;=90000, "High", [1]Employees!$I488&gt;=50000, "Medium", [1]Employees!$I488&lt;50000, "Low")</f>
        <v>High</v>
      </c>
      <c r="O488" s="15" t="str">
        <f>IF([1]Employees!$I488&gt;=90000, "High", IF([1]Employees!$I488&gt;=50000, "Medium", "Low"))</f>
        <v>High</v>
      </c>
    </row>
    <row r="489" spans="1:15" x14ac:dyDescent="0.3">
      <c r="A489" s="4" t="s">
        <v>1475</v>
      </c>
      <c r="B489" s="4" t="s">
        <v>74</v>
      </c>
      <c r="C489" s="4" t="s">
        <v>66</v>
      </c>
      <c r="D489" s="4" t="s">
        <v>27</v>
      </c>
      <c r="E489" s="4">
        <v>22</v>
      </c>
      <c r="F489" s="4" t="s">
        <v>28</v>
      </c>
      <c r="G489" s="4" t="s">
        <v>35</v>
      </c>
      <c r="H489" s="4" t="s">
        <v>1476</v>
      </c>
      <c r="I489" s="4">
        <v>56106</v>
      </c>
      <c r="J489" s="4" t="s">
        <v>22</v>
      </c>
      <c r="K489" s="4" t="s">
        <v>1477</v>
      </c>
      <c r="L489" s="4" t="s">
        <v>39</v>
      </c>
      <c r="M489" s="5" t="str">
        <f>IF([1]Employees!$I489&gt;=90000, "High", "Low")</f>
        <v>Low</v>
      </c>
      <c r="N489" s="6" t="str" cm="1">
        <f t="array" ref="N489">_xlfn.IFS([1]Employees!$I489&gt;=90000, "High", [1]Employees!$I489&gt;=50000, "Medium", [1]Employees!$I489&lt;50000, "Low")</f>
        <v>Medium</v>
      </c>
      <c r="O489" s="15" t="str">
        <f>IF([1]Employees!$I489&gt;=90000, "High", IF([1]Employees!$I489&gt;=50000, "Medium", "Low"))</f>
        <v>Medium</v>
      </c>
    </row>
    <row r="490" spans="1:15" x14ac:dyDescent="0.3">
      <c r="A490" s="4" t="s">
        <v>1478</v>
      </c>
      <c r="B490" s="4" t="s">
        <v>97</v>
      </c>
      <c r="C490" s="4" t="s">
        <v>98</v>
      </c>
      <c r="D490" s="4" t="s">
        <v>18</v>
      </c>
      <c r="E490" s="4">
        <v>38</v>
      </c>
      <c r="F490" s="4" t="s">
        <v>42</v>
      </c>
      <c r="G490" s="4" t="s">
        <v>35</v>
      </c>
      <c r="H490" s="4" t="s">
        <v>303</v>
      </c>
      <c r="I490" s="4">
        <v>106273</v>
      </c>
      <c r="J490" s="4" t="s">
        <v>22</v>
      </c>
      <c r="K490" s="4" t="s">
        <v>1479</v>
      </c>
      <c r="L490" s="4" t="s">
        <v>39</v>
      </c>
      <c r="M490" s="5" t="str">
        <f>IF([1]Employees!$I490&gt;=90000, "High", "Low")</f>
        <v>High</v>
      </c>
      <c r="N490" s="6" t="str" cm="1">
        <f t="array" ref="N490">_xlfn.IFS([1]Employees!$I490&gt;=90000, "High", [1]Employees!$I490&gt;=50000, "Medium", [1]Employees!$I490&lt;50000, "Low")</f>
        <v>High</v>
      </c>
      <c r="O490" s="15" t="str">
        <f>IF([1]Employees!$I490&gt;=90000, "High", IF([1]Employees!$I490&gt;=50000, "Medium", "Low"))</f>
        <v>High</v>
      </c>
    </row>
    <row r="491" spans="1:15" x14ac:dyDescent="0.3">
      <c r="A491" s="4" t="s">
        <v>1480</v>
      </c>
      <c r="B491" s="4" t="s">
        <v>74</v>
      </c>
      <c r="C491" s="4" t="s">
        <v>133</v>
      </c>
      <c r="D491" s="4" t="s">
        <v>27</v>
      </c>
      <c r="E491" s="4">
        <v>45</v>
      </c>
      <c r="F491" s="4" t="s">
        <v>53</v>
      </c>
      <c r="G491" s="4" t="s">
        <v>43</v>
      </c>
      <c r="H491" s="4" t="s">
        <v>1481</v>
      </c>
      <c r="I491" s="4">
        <v>105710</v>
      </c>
      <c r="J491" s="4" t="s">
        <v>83</v>
      </c>
      <c r="K491" s="4" t="s">
        <v>1482</v>
      </c>
      <c r="L491" s="4" t="s">
        <v>24</v>
      </c>
      <c r="M491" s="5" t="str">
        <f>IF([1]Employees!$I491&gt;=90000, "High", "Low")</f>
        <v>High</v>
      </c>
      <c r="N491" s="6" t="str" cm="1">
        <f t="array" ref="N491">_xlfn.IFS([1]Employees!$I491&gt;=90000, "High", [1]Employees!$I491&gt;=50000, "Medium", [1]Employees!$I491&lt;50000, "Low")</f>
        <v>High</v>
      </c>
      <c r="O491" s="15" t="str">
        <f>IF([1]Employees!$I491&gt;=90000, "High", IF([1]Employees!$I491&gt;=50000, "Medium", "Low"))</f>
        <v>High</v>
      </c>
    </row>
    <row r="492" spans="1:15" x14ac:dyDescent="0.3">
      <c r="A492" s="4" t="s">
        <v>1483</v>
      </c>
      <c r="B492" s="4" t="s">
        <v>146</v>
      </c>
      <c r="C492" s="4" t="s">
        <v>17</v>
      </c>
      <c r="D492" s="4" t="s">
        <v>18</v>
      </c>
      <c r="E492" s="4">
        <v>46</v>
      </c>
      <c r="F492" s="4" t="s">
        <v>53</v>
      </c>
      <c r="G492" s="4" t="s">
        <v>111</v>
      </c>
      <c r="H492" s="4" t="s">
        <v>273</v>
      </c>
      <c r="I492" s="4">
        <v>68751</v>
      </c>
      <c r="J492" s="4" t="s">
        <v>22</v>
      </c>
      <c r="K492" s="4" t="s">
        <v>1484</v>
      </c>
      <c r="L492" s="4" t="s">
        <v>24</v>
      </c>
      <c r="M492" s="5" t="str">
        <f>IF([1]Employees!$I492&gt;=90000, "High", "Low")</f>
        <v>Low</v>
      </c>
      <c r="N492" s="6" t="str" cm="1">
        <f t="array" ref="N492">_xlfn.IFS([1]Employees!$I492&gt;=90000, "High", [1]Employees!$I492&gt;=50000, "Medium", [1]Employees!$I492&lt;50000, "Low")</f>
        <v>Medium</v>
      </c>
      <c r="O492" s="15" t="str">
        <f>IF([1]Employees!$I492&gt;=90000, "High", IF([1]Employees!$I492&gt;=50000, "Medium", "Low"))</f>
        <v>Medium</v>
      </c>
    </row>
    <row r="493" spans="1:15" x14ac:dyDescent="0.3">
      <c r="A493" s="4" t="s">
        <v>1485</v>
      </c>
      <c r="B493" s="4" t="s">
        <v>41</v>
      </c>
      <c r="C493" s="4" t="s">
        <v>48</v>
      </c>
      <c r="D493" s="4" t="s">
        <v>18</v>
      </c>
      <c r="E493" s="4">
        <v>33</v>
      </c>
      <c r="F493" s="4" t="s">
        <v>19</v>
      </c>
      <c r="G493" s="4" t="s">
        <v>29</v>
      </c>
      <c r="H493" s="4" t="s">
        <v>1486</v>
      </c>
      <c r="I493" s="4">
        <v>63873</v>
      </c>
      <c r="J493" s="4" t="s">
        <v>68</v>
      </c>
      <c r="K493" s="4" t="s">
        <v>1487</v>
      </c>
      <c r="L493" s="4" t="s">
        <v>24</v>
      </c>
      <c r="M493" s="5" t="str">
        <f>IF([1]Employees!$I493&gt;=90000, "High", "Low")</f>
        <v>Low</v>
      </c>
      <c r="N493" s="6" t="str" cm="1">
        <f t="array" ref="N493">_xlfn.IFS([1]Employees!$I493&gt;=90000, "High", [1]Employees!$I493&gt;=50000, "Medium", [1]Employees!$I493&lt;50000, "Low")</f>
        <v>Medium</v>
      </c>
      <c r="O493" s="15" t="str">
        <f>IF([1]Employees!$I493&gt;=90000, "High", IF([1]Employees!$I493&gt;=50000, "Medium", "Low"))</f>
        <v>Medium</v>
      </c>
    </row>
    <row r="494" spans="1:15" x14ac:dyDescent="0.3">
      <c r="A494" s="4" t="s">
        <v>1488</v>
      </c>
      <c r="B494" s="4" t="s">
        <v>52</v>
      </c>
      <c r="C494" s="4" t="s">
        <v>48</v>
      </c>
      <c r="D494" s="4" t="s">
        <v>27</v>
      </c>
      <c r="E494" s="4">
        <v>39</v>
      </c>
      <c r="F494" s="4" t="s">
        <v>53</v>
      </c>
      <c r="G494" s="4" t="s">
        <v>43</v>
      </c>
      <c r="H494" s="4" t="s">
        <v>1012</v>
      </c>
      <c r="I494" s="4">
        <v>117465</v>
      </c>
      <c r="J494" s="4" t="s">
        <v>37</v>
      </c>
      <c r="K494" s="4" t="s">
        <v>1489</v>
      </c>
      <c r="L494" s="4" t="s">
        <v>39</v>
      </c>
      <c r="M494" s="5" t="str">
        <f>IF([1]Employees!$I494&gt;=90000, "High", "Low")</f>
        <v>High</v>
      </c>
      <c r="N494" s="6" t="str" cm="1">
        <f t="array" ref="N494">_xlfn.IFS([1]Employees!$I494&gt;=90000, "High", [1]Employees!$I494&gt;=50000, "Medium", [1]Employees!$I494&lt;50000, "Low")</f>
        <v>High</v>
      </c>
      <c r="O494" s="15" t="str">
        <f>IF([1]Employees!$I494&gt;=90000, "High", IF([1]Employees!$I494&gt;=50000, "Medium", "Low"))</f>
        <v>High</v>
      </c>
    </row>
    <row r="495" spans="1:15" x14ac:dyDescent="0.3">
      <c r="A495" s="4" t="s">
        <v>1490</v>
      </c>
      <c r="B495" s="4" t="s">
        <v>47</v>
      </c>
      <c r="C495" s="4" t="s">
        <v>133</v>
      </c>
      <c r="D495" s="4" t="s">
        <v>18</v>
      </c>
      <c r="E495" s="4">
        <v>44</v>
      </c>
      <c r="F495" s="4" t="s">
        <v>34</v>
      </c>
      <c r="G495" s="4" t="s">
        <v>29</v>
      </c>
      <c r="H495" s="4" t="s">
        <v>1491</v>
      </c>
      <c r="I495" s="4">
        <v>59582</v>
      </c>
      <c r="J495" s="4" t="s">
        <v>83</v>
      </c>
      <c r="K495" s="4" t="s">
        <v>1492</v>
      </c>
      <c r="L495" s="4" t="s">
        <v>39</v>
      </c>
      <c r="M495" s="5" t="str">
        <f>IF([1]Employees!$I495&gt;=90000, "High", "Low")</f>
        <v>Low</v>
      </c>
      <c r="N495" s="6" t="str" cm="1">
        <f t="array" ref="N495">_xlfn.IFS([1]Employees!$I495&gt;=90000, "High", [1]Employees!$I495&gt;=50000, "Medium", [1]Employees!$I495&lt;50000, "Low")</f>
        <v>Medium</v>
      </c>
      <c r="O495" s="15" t="str">
        <f>IF([1]Employees!$I495&gt;=90000, "High", IF([1]Employees!$I495&gt;=50000, "Medium", "Low"))</f>
        <v>Medium</v>
      </c>
    </row>
    <row r="496" spans="1:15" x14ac:dyDescent="0.3">
      <c r="A496" s="4" t="s">
        <v>1493</v>
      </c>
      <c r="B496" s="4" t="s">
        <v>61</v>
      </c>
      <c r="C496" s="4" t="s">
        <v>86</v>
      </c>
      <c r="D496" s="4" t="s">
        <v>18</v>
      </c>
      <c r="E496" s="4">
        <v>51</v>
      </c>
      <c r="F496" s="4" t="s">
        <v>34</v>
      </c>
      <c r="G496" s="4" t="s">
        <v>20</v>
      </c>
      <c r="H496" s="4" t="s">
        <v>1494</v>
      </c>
      <c r="I496" s="4">
        <v>117932</v>
      </c>
      <c r="J496" s="4" t="s">
        <v>83</v>
      </c>
      <c r="K496" s="4" t="s">
        <v>1495</v>
      </c>
      <c r="L496" s="4" t="s">
        <v>24</v>
      </c>
      <c r="M496" s="5" t="str">
        <f>IF([1]Employees!$I496&gt;=90000, "High", "Low")</f>
        <v>High</v>
      </c>
      <c r="N496" s="6" t="str" cm="1">
        <f t="array" ref="N496">_xlfn.IFS([1]Employees!$I496&gt;=90000, "High", [1]Employees!$I496&gt;=50000, "Medium", [1]Employees!$I496&lt;50000, "Low")</f>
        <v>High</v>
      </c>
      <c r="O496" s="15" t="str">
        <f>IF([1]Employees!$I496&gt;=90000, "High", IF([1]Employees!$I496&gt;=50000, "Medium", "Low"))</f>
        <v>High</v>
      </c>
    </row>
    <row r="497" spans="1:15" x14ac:dyDescent="0.3">
      <c r="A497" s="4" t="s">
        <v>1496</v>
      </c>
      <c r="B497" s="4" t="s">
        <v>52</v>
      </c>
      <c r="C497" s="4" t="s">
        <v>48</v>
      </c>
      <c r="D497" s="4" t="s">
        <v>27</v>
      </c>
      <c r="E497" s="4">
        <v>58</v>
      </c>
      <c r="F497" s="4" t="s">
        <v>19</v>
      </c>
      <c r="G497" s="4" t="s">
        <v>43</v>
      </c>
      <c r="H497" s="4" t="s">
        <v>1497</v>
      </c>
      <c r="I497" s="4">
        <v>95198</v>
      </c>
      <c r="J497" s="4" t="s">
        <v>83</v>
      </c>
      <c r="K497" s="4" t="s">
        <v>1498</v>
      </c>
      <c r="L497" s="4" t="s">
        <v>24</v>
      </c>
      <c r="M497" s="5" t="str">
        <f>IF([1]Employees!$I497&gt;=90000, "High", "Low")</f>
        <v>High</v>
      </c>
      <c r="N497" s="6" t="str" cm="1">
        <f t="array" ref="N497">_xlfn.IFS([1]Employees!$I497&gt;=90000, "High", [1]Employees!$I497&gt;=50000, "Medium", [1]Employees!$I497&lt;50000, "Low")</f>
        <v>High</v>
      </c>
      <c r="O497" s="15" t="str">
        <f>IF([1]Employees!$I497&gt;=90000, "High", IF([1]Employees!$I497&gt;=50000, "Medium", "Low"))</f>
        <v>High</v>
      </c>
    </row>
    <row r="498" spans="1:15" x14ac:dyDescent="0.3">
      <c r="A498" s="4" t="s">
        <v>1499</v>
      </c>
      <c r="B498" s="4" t="s">
        <v>61</v>
      </c>
      <c r="C498" s="4" t="s">
        <v>168</v>
      </c>
      <c r="D498" s="4" t="s">
        <v>27</v>
      </c>
      <c r="E498" s="4">
        <v>24</v>
      </c>
      <c r="F498" s="4" t="s">
        <v>34</v>
      </c>
      <c r="G498" s="4" t="s">
        <v>35</v>
      </c>
      <c r="H498" s="4" t="s">
        <v>1500</v>
      </c>
      <c r="I498" s="4">
        <v>61647</v>
      </c>
      <c r="J498" s="4" t="s">
        <v>83</v>
      </c>
      <c r="K498" s="4" t="s">
        <v>1501</v>
      </c>
      <c r="L498" s="4" t="s">
        <v>39</v>
      </c>
      <c r="M498" s="5" t="str">
        <f>IF([1]Employees!$I498&gt;=90000, "High", "Low")</f>
        <v>Low</v>
      </c>
      <c r="N498" s="6" t="str" cm="1">
        <f t="array" ref="N498">_xlfn.IFS([1]Employees!$I498&gt;=90000, "High", [1]Employees!$I498&gt;=50000, "Medium", [1]Employees!$I498&lt;50000, "Low")</f>
        <v>Medium</v>
      </c>
      <c r="O498" s="15" t="str">
        <f>IF([1]Employees!$I498&gt;=90000, "High", IF([1]Employees!$I498&gt;=50000, "Medium", "Low"))</f>
        <v>Medium</v>
      </c>
    </row>
    <row r="499" spans="1:15" x14ac:dyDescent="0.3">
      <c r="A499" s="4" t="s">
        <v>1502</v>
      </c>
      <c r="B499" s="4" t="s">
        <v>97</v>
      </c>
      <c r="C499" s="4" t="s">
        <v>66</v>
      </c>
      <c r="D499" s="4" t="s">
        <v>18</v>
      </c>
      <c r="E499" s="4">
        <v>26</v>
      </c>
      <c r="F499" s="4" t="s">
        <v>53</v>
      </c>
      <c r="G499" s="4" t="s">
        <v>29</v>
      </c>
      <c r="H499" s="4" t="s">
        <v>1503</v>
      </c>
      <c r="I499" s="4">
        <v>41274</v>
      </c>
      <c r="J499" s="4" t="s">
        <v>83</v>
      </c>
      <c r="K499" s="4" t="s">
        <v>1504</v>
      </c>
      <c r="L499" s="4" t="s">
        <v>39</v>
      </c>
      <c r="M499" s="5" t="str">
        <f>IF([1]Employees!$I499&gt;=90000, "High", "Low")</f>
        <v>Low</v>
      </c>
      <c r="N499" s="6" t="str" cm="1">
        <f t="array" ref="N499">_xlfn.IFS([1]Employees!$I499&gt;=90000, "High", [1]Employees!$I499&gt;=50000, "Medium", [1]Employees!$I499&lt;50000, "Low")</f>
        <v>Low</v>
      </c>
      <c r="O499" s="15" t="str">
        <f>IF([1]Employees!$I499&gt;=90000, "High", IF([1]Employees!$I499&gt;=50000, "Medium", "Low"))</f>
        <v>Low</v>
      </c>
    </row>
    <row r="500" spans="1:15" x14ac:dyDescent="0.3">
      <c r="A500" s="4" t="s">
        <v>1505</v>
      </c>
      <c r="B500" s="4" t="s">
        <v>41</v>
      </c>
      <c r="C500" s="4" t="s">
        <v>86</v>
      </c>
      <c r="D500" s="4" t="s">
        <v>18</v>
      </c>
      <c r="E500" s="4">
        <v>40</v>
      </c>
      <c r="F500" s="4" t="s">
        <v>28</v>
      </c>
      <c r="G500" s="4" t="s">
        <v>43</v>
      </c>
      <c r="H500" s="4" t="s">
        <v>1506</v>
      </c>
      <c r="I500" s="4">
        <v>40450</v>
      </c>
      <c r="J500" s="4" t="s">
        <v>83</v>
      </c>
      <c r="K500" s="4" t="s">
        <v>1507</v>
      </c>
      <c r="L500" s="4" t="s">
        <v>24</v>
      </c>
      <c r="M500" s="5" t="str">
        <f>IF([1]Employees!$I500&gt;=90000, "High", "Low")</f>
        <v>Low</v>
      </c>
      <c r="N500" s="6" t="str" cm="1">
        <f t="array" ref="N500">_xlfn.IFS([1]Employees!$I500&gt;=90000, "High", [1]Employees!$I500&gt;=50000, "Medium", [1]Employees!$I500&lt;50000, "Low")</f>
        <v>Low</v>
      </c>
      <c r="O500" s="15" t="str">
        <f>IF([1]Employees!$I500&gt;=90000, "High", IF([1]Employees!$I500&gt;=50000, "Medium", "Low"))</f>
        <v>Low</v>
      </c>
    </row>
    <row r="501" spans="1:15" x14ac:dyDescent="0.3">
      <c r="A501" s="7" t="s">
        <v>1508</v>
      </c>
      <c r="B501" s="7" t="s">
        <v>41</v>
      </c>
      <c r="C501" s="7" t="s">
        <v>66</v>
      </c>
      <c r="D501" s="7" t="s">
        <v>27</v>
      </c>
      <c r="E501" s="7">
        <v>58</v>
      </c>
      <c r="F501" s="7" t="s">
        <v>42</v>
      </c>
      <c r="G501" s="7" t="s">
        <v>29</v>
      </c>
      <c r="H501" s="7" t="s">
        <v>1509</v>
      </c>
      <c r="I501" s="7">
        <v>42662</v>
      </c>
      <c r="J501" s="7" t="s">
        <v>68</v>
      </c>
      <c r="K501" s="7" t="s">
        <v>1510</v>
      </c>
      <c r="L501" s="7" t="s">
        <v>24</v>
      </c>
      <c r="M501" s="8" t="str">
        <f>IF([1]Employees!$I501&gt;=90000, "High", "Low")</f>
        <v>Low</v>
      </c>
      <c r="N501" s="9" t="str" cm="1">
        <f t="array" ref="N501">_xlfn.IFS([1]Employees!$I501&gt;=90000, "High", [1]Employees!$I501&gt;=50000, "Medium", [1]Employees!$I501&lt;50000, "Low")</f>
        <v>Low</v>
      </c>
      <c r="O501" s="16" t="str">
        <f>IF([1]Employees!$I501&gt;=90000, "High", IF([1]Employees!$I501&gt;=50000, "Medium", "Low"))</f>
        <v>Low</v>
      </c>
    </row>
  </sheetData>
  <dataValidations count="2">
    <dataValidation type="list" allowBlank="1" showInputMessage="1" showErrorMessage="1" sqref="R7" xr:uid="{EF3CB290-5594-46B3-B4C4-10349F1F8FCB}">
      <formula1>$Q$3:$Q$4</formula1>
    </dataValidation>
    <dataValidation type="list" allowBlank="1" showInputMessage="1" showErrorMessage="1" sqref="U3 Q7" xr:uid="{28E5C95A-06E6-40BB-9B2B-5829B27FA889}">
      <formula1>$U$3:$U$8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9996-E93B-4A71-B9DF-A53AC1137CBF}">
  <dimension ref="A1:C6"/>
  <sheetViews>
    <sheetView workbookViewId="0">
      <selection activeCell="D19" sqref="D19"/>
    </sheetView>
  </sheetViews>
  <sheetFormatPr defaultRowHeight="14.4" x14ac:dyDescent="0.3"/>
  <cols>
    <col min="1" max="1" width="12.77734375" bestFit="1" customWidth="1"/>
    <col min="2" max="2" width="16.109375" bestFit="1" customWidth="1"/>
    <col min="3" max="3" width="9.6640625" customWidth="1"/>
  </cols>
  <sheetData>
    <row r="1" spans="1:3" x14ac:dyDescent="0.3">
      <c r="A1" s="12" t="s">
        <v>5</v>
      </c>
      <c r="B1" s="12" t="s">
        <v>1518</v>
      </c>
      <c r="C1" s="12" t="s">
        <v>43</v>
      </c>
    </row>
    <row r="2" spans="1:3" x14ac:dyDescent="0.3">
      <c r="A2" s="13" t="s">
        <v>19</v>
      </c>
      <c r="B2" s="13" t="s">
        <v>1519</v>
      </c>
      <c r="C2" s="13" t="s">
        <v>1520</v>
      </c>
    </row>
    <row r="3" spans="1:3" x14ac:dyDescent="0.3">
      <c r="A3" s="13" t="s">
        <v>53</v>
      </c>
      <c r="B3" s="13" t="s">
        <v>1521</v>
      </c>
      <c r="C3" s="13" t="s">
        <v>1522</v>
      </c>
    </row>
    <row r="4" spans="1:3" x14ac:dyDescent="0.3">
      <c r="A4" s="13" t="s">
        <v>28</v>
      </c>
      <c r="B4" s="13" t="s">
        <v>1523</v>
      </c>
      <c r="C4" s="13" t="s">
        <v>1524</v>
      </c>
    </row>
    <row r="5" spans="1:3" x14ac:dyDescent="0.3">
      <c r="A5" s="13" t="s">
        <v>34</v>
      </c>
      <c r="B5" s="13" t="s">
        <v>1525</v>
      </c>
      <c r="C5" s="13" t="s">
        <v>1526</v>
      </c>
    </row>
    <row r="6" spans="1:3" x14ac:dyDescent="0.3">
      <c r="A6" s="13" t="s">
        <v>42</v>
      </c>
      <c r="B6" s="13" t="s">
        <v>1527</v>
      </c>
      <c r="C6" s="13" t="s">
        <v>1528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6504-3406-4302-B380-01D3D09D1940}">
  <dimension ref="A1:E501"/>
  <sheetViews>
    <sheetView tabSelected="1" workbookViewId="0">
      <selection activeCell="H15" sqref="H15"/>
    </sheetView>
  </sheetViews>
  <sheetFormatPr defaultRowHeight="14.4" x14ac:dyDescent="0.3"/>
  <cols>
    <col min="1" max="1" width="11" bestFit="1" customWidth="1"/>
    <col min="2" max="2" width="10.5546875" bestFit="1" customWidth="1"/>
    <col min="3" max="3" width="6.21875" bestFit="1" customWidth="1"/>
    <col min="4" max="4" width="12.44140625" bestFit="1" customWidth="1"/>
    <col min="5" max="5" width="17.44140625" bestFit="1" customWidth="1"/>
    <col min="7" max="7" width="25.77734375" bestFit="1" customWidth="1"/>
  </cols>
  <sheetData>
    <row r="1" spans="1:5" x14ac:dyDescent="0.3">
      <c r="A1" s="10" t="s">
        <v>0</v>
      </c>
      <c r="B1" s="10" t="s">
        <v>1514</v>
      </c>
      <c r="C1" s="10" t="s">
        <v>1515</v>
      </c>
      <c r="D1" s="10" t="s">
        <v>1516</v>
      </c>
      <c r="E1" s="10" t="s">
        <v>1517</v>
      </c>
    </row>
    <row r="2" spans="1:5" x14ac:dyDescent="0.3">
      <c r="A2" s="11" t="s">
        <v>15</v>
      </c>
      <c r="B2" s="11">
        <v>2026</v>
      </c>
      <c r="C2" s="11">
        <v>1</v>
      </c>
      <c r="D2" s="11">
        <v>4</v>
      </c>
      <c r="E2" s="11">
        <v>2</v>
      </c>
    </row>
    <row r="3" spans="1:5" x14ac:dyDescent="0.3">
      <c r="A3" s="11" t="s">
        <v>25</v>
      </c>
      <c r="B3" s="11">
        <v>2026</v>
      </c>
      <c r="C3" s="11">
        <v>4</v>
      </c>
      <c r="D3" s="11">
        <v>5</v>
      </c>
      <c r="E3" s="11">
        <v>7</v>
      </c>
    </row>
    <row r="4" spans="1:5" x14ac:dyDescent="0.3">
      <c r="A4" s="11" t="s">
        <v>32</v>
      </c>
      <c r="B4" s="11">
        <v>2026</v>
      </c>
      <c r="C4" s="11">
        <v>2</v>
      </c>
      <c r="D4" s="11">
        <v>29</v>
      </c>
      <c r="E4" s="11">
        <v>5</v>
      </c>
    </row>
    <row r="5" spans="1:5" x14ac:dyDescent="0.3">
      <c r="A5" s="11" t="s">
        <v>40</v>
      </c>
      <c r="B5" s="11">
        <v>2026</v>
      </c>
      <c r="C5" s="11">
        <v>4</v>
      </c>
      <c r="D5" s="11">
        <v>18</v>
      </c>
      <c r="E5" s="11">
        <v>6</v>
      </c>
    </row>
    <row r="6" spans="1:5" x14ac:dyDescent="0.3">
      <c r="A6" s="11" t="s">
        <v>46</v>
      </c>
      <c r="B6" s="11">
        <v>2026</v>
      </c>
      <c r="C6" s="11">
        <v>2</v>
      </c>
      <c r="D6" s="11">
        <v>48</v>
      </c>
      <c r="E6" s="11">
        <v>2</v>
      </c>
    </row>
    <row r="7" spans="1:5" x14ac:dyDescent="0.3">
      <c r="A7" s="11" t="s">
        <v>51</v>
      </c>
      <c r="B7" s="11">
        <v>2026</v>
      </c>
      <c r="C7" s="11">
        <v>3</v>
      </c>
      <c r="D7" s="11">
        <v>14</v>
      </c>
      <c r="E7" s="11">
        <v>5</v>
      </c>
    </row>
    <row r="8" spans="1:5" x14ac:dyDescent="0.3">
      <c r="A8" s="11" t="s">
        <v>56</v>
      </c>
      <c r="B8" s="11">
        <v>2026</v>
      </c>
      <c r="C8" s="11">
        <v>2</v>
      </c>
      <c r="D8" s="11">
        <v>19</v>
      </c>
      <c r="E8" s="11">
        <v>3</v>
      </c>
    </row>
    <row r="9" spans="1:5" x14ac:dyDescent="0.3">
      <c r="A9" s="11" t="s">
        <v>60</v>
      </c>
      <c r="B9" s="11">
        <v>2026</v>
      </c>
      <c r="C9" s="11">
        <v>1</v>
      </c>
      <c r="D9" s="11">
        <v>4</v>
      </c>
      <c r="E9" s="11">
        <v>2</v>
      </c>
    </row>
    <row r="10" spans="1:5" x14ac:dyDescent="0.3">
      <c r="A10" s="11" t="s">
        <v>65</v>
      </c>
      <c r="B10" s="11">
        <v>2026</v>
      </c>
      <c r="C10" s="11">
        <v>4</v>
      </c>
      <c r="D10" s="11">
        <v>59</v>
      </c>
      <c r="E10" s="11">
        <v>0</v>
      </c>
    </row>
    <row r="11" spans="1:5" x14ac:dyDescent="0.3">
      <c r="A11" s="11" t="s">
        <v>70</v>
      </c>
      <c r="B11" s="11">
        <v>2026</v>
      </c>
      <c r="C11" s="11">
        <v>5</v>
      </c>
      <c r="D11" s="11">
        <v>27</v>
      </c>
      <c r="E11" s="11">
        <v>2</v>
      </c>
    </row>
    <row r="12" spans="1:5" x14ac:dyDescent="0.3">
      <c r="A12" s="11" t="s">
        <v>73</v>
      </c>
      <c r="B12" s="11">
        <v>2026</v>
      </c>
      <c r="C12" s="11">
        <v>3</v>
      </c>
      <c r="D12" s="11">
        <v>42</v>
      </c>
      <c r="E12" s="11">
        <v>3</v>
      </c>
    </row>
    <row r="13" spans="1:5" x14ac:dyDescent="0.3">
      <c r="A13" s="11" t="s">
        <v>77</v>
      </c>
      <c r="B13" s="11">
        <v>2026</v>
      </c>
      <c r="C13" s="11">
        <v>2</v>
      </c>
      <c r="D13" s="11">
        <v>59</v>
      </c>
      <c r="E13" s="11">
        <v>3</v>
      </c>
    </row>
    <row r="14" spans="1:5" x14ac:dyDescent="0.3">
      <c r="A14" s="11" t="s">
        <v>80</v>
      </c>
      <c r="B14" s="11">
        <v>2026</v>
      </c>
      <c r="C14" s="11">
        <v>3</v>
      </c>
      <c r="D14" s="11">
        <v>14</v>
      </c>
      <c r="E14" s="11">
        <v>0</v>
      </c>
    </row>
    <row r="15" spans="1:5" x14ac:dyDescent="0.3">
      <c r="A15" s="11" t="s">
        <v>85</v>
      </c>
      <c r="B15" s="11">
        <v>2026</v>
      </c>
      <c r="C15" s="11">
        <v>2</v>
      </c>
      <c r="D15" s="11">
        <v>2</v>
      </c>
      <c r="E15" s="11">
        <v>12</v>
      </c>
    </row>
    <row r="16" spans="1:5" x14ac:dyDescent="0.3">
      <c r="A16" s="11" t="s">
        <v>89</v>
      </c>
      <c r="B16" s="11">
        <v>2026</v>
      </c>
      <c r="C16" s="11">
        <v>4</v>
      </c>
      <c r="D16" s="11">
        <v>60</v>
      </c>
      <c r="E16" s="11">
        <v>2</v>
      </c>
    </row>
    <row r="17" spans="1:5" x14ac:dyDescent="0.3">
      <c r="A17" s="11" t="s">
        <v>92</v>
      </c>
      <c r="B17" s="11">
        <v>2026</v>
      </c>
      <c r="C17" s="11">
        <v>2</v>
      </c>
      <c r="D17" s="11">
        <v>39</v>
      </c>
      <c r="E17" s="11">
        <v>1</v>
      </c>
    </row>
    <row r="18" spans="1:5" x14ac:dyDescent="0.3">
      <c r="A18" s="11" t="s">
        <v>96</v>
      </c>
      <c r="B18" s="11">
        <v>2026</v>
      </c>
      <c r="C18" s="11">
        <v>1</v>
      </c>
      <c r="D18" s="11">
        <v>60</v>
      </c>
      <c r="E18" s="11">
        <v>12</v>
      </c>
    </row>
    <row r="19" spans="1:5" x14ac:dyDescent="0.3">
      <c r="A19" s="11" t="s">
        <v>101</v>
      </c>
      <c r="B19" s="11">
        <v>2026</v>
      </c>
      <c r="C19" s="11">
        <v>4</v>
      </c>
      <c r="D19" s="11">
        <v>14</v>
      </c>
      <c r="E19" s="11">
        <v>8</v>
      </c>
    </row>
    <row r="20" spans="1:5" x14ac:dyDescent="0.3">
      <c r="A20" s="11" t="s">
        <v>104</v>
      </c>
      <c r="B20" s="11">
        <v>2026</v>
      </c>
      <c r="C20" s="11">
        <v>5</v>
      </c>
      <c r="D20" s="11">
        <v>43</v>
      </c>
      <c r="E20" s="11">
        <v>10</v>
      </c>
    </row>
    <row r="21" spans="1:5" x14ac:dyDescent="0.3">
      <c r="A21" s="11" t="s">
        <v>107</v>
      </c>
      <c r="B21" s="11">
        <v>2026</v>
      </c>
      <c r="C21" s="11">
        <v>5</v>
      </c>
      <c r="D21" s="11">
        <v>45</v>
      </c>
      <c r="E21" s="11">
        <v>8</v>
      </c>
    </row>
    <row r="22" spans="1:5" x14ac:dyDescent="0.3">
      <c r="A22" s="11" t="s">
        <v>110</v>
      </c>
      <c r="B22" s="11">
        <v>2026</v>
      </c>
      <c r="C22" s="11">
        <v>1</v>
      </c>
      <c r="D22" s="11">
        <v>1</v>
      </c>
      <c r="E22" s="11">
        <v>7</v>
      </c>
    </row>
    <row r="23" spans="1:5" x14ac:dyDescent="0.3">
      <c r="A23" s="11" t="s">
        <v>114</v>
      </c>
      <c r="B23" s="11">
        <v>2026</v>
      </c>
      <c r="C23" s="11">
        <v>5</v>
      </c>
      <c r="D23" s="11">
        <v>45</v>
      </c>
      <c r="E23" s="11">
        <v>8</v>
      </c>
    </row>
    <row r="24" spans="1:5" x14ac:dyDescent="0.3">
      <c r="A24" s="11" t="s">
        <v>117</v>
      </c>
      <c r="B24" s="11">
        <v>2026</v>
      </c>
      <c r="C24" s="11">
        <v>3</v>
      </c>
      <c r="D24" s="11">
        <v>16</v>
      </c>
      <c r="E24" s="11">
        <v>3</v>
      </c>
    </row>
    <row r="25" spans="1:5" x14ac:dyDescent="0.3">
      <c r="A25" s="11" t="s">
        <v>120</v>
      </c>
      <c r="B25" s="11">
        <v>2026</v>
      </c>
      <c r="C25" s="11">
        <v>4</v>
      </c>
      <c r="D25" s="11">
        <v>34</v>
      </c>
      <c r="E25" s="11">
        <v>0</v>
      </c>
    </row>
    <row r="26" spans="1:5" x14ac:dyDescent="0.3">
      <c r="A26" s="11" t="s">
        <v>123</v>
      </c>
      <c r="B26" s="11">
        <v>2026</v>
      </c>
      <c r="C26" s="11">
        <v>4</v>
      </c>
      <c r="D26" s="11">
        <v>3</v>
      </c>
      <c r="E26" s="11">
        <v>1</v>
      </c>
    </row>
    <row r="27" spans="1:5" x14ac:dyDescent="0.3">
      <c r="A27" s="11" t="s">
        <v>126</v>
      </c>
      <c r="B27" s="11">
        <v>2026</v>
      </c>
      <c r="C27" s="11">
        <v>1</v>
      </c>
      <c r="D27" s="11">
        <v>12</v>
      </c>
      <c r="E27" s="11">
        <v>0</v>
      </c>
    </row>
    <row r="28" spans="1:5" x14ac:dyDescent="0.3">
      <c r="A28" s="11" t="s">
        <v>129</v>
      </c>
      <c r="B28" s="11">
        <v>2026</v>
      </c>
      <c r="C28" s="11">
        <v>1</v>
      </c>
      <c r="D28" s="11">
        <v>38</v>
      </c>
      <c r="E28" s="11">
        <v>8</v>
      </c>
    </row>
    <row r="29" spans="1:5" x14ac:dyDescent="0.3">
      <c r="A29" s="11" t="s">
        <v>132</v>
      </c>
      <c r="B29" s="11">
        <v>2026</v>
      </c>
      <c r="C29" s="11">
        <v>4</v>
      </c>
      <c r="D29" s="11">
        <v>32</v>
      </c>
      <c r="E29" s="11">
        <v>3</v>
      </c>
    </row>
    <row r="30" spans="1:5" x14ac:dyDescent="0.3">
      <c r="A30" s="11" t="s">
        <v>136</v>
      </c>
      <c r="B30" s="11">
        <v>2026</v>
      </c>
      <c r="C30" s="11">
        <v>5</v>
      </c>
      <c r="D30" s="11">
        <v>17</v>
      </c>
      <c r="E30" s="11">
        <v>9</v>
      </c>
    </row>
    <row r="31" spans="1:5" x14ac:dyDescent="0.3">
      <c r="A31" s="11" t="s">
        <v>139</v>
      </c>
      <c r="B31" s="11">
        <v>2026</v>
      </c>
      <c r="C31" s="11">
        <v>2</v>
      </c>
      <c r="D31" s="11">
        <v>25</v>
      </c>
      <c r="E31" s="11">
        <v>12</v>
      </c>
    </row>
    <row r="32" spans="1:5" x14ac:dyDescent="0.3">
      <c r="A32" s="11" t="s">
        <v>142</v>
      </c>
      <c r="B32" s="11">
        <v>2026</v>
      </c>
      <c r="C32" s="11">
        <v>1</v>
      </c>
      <c r="D32" s="11">
        <v>37</v>
      </c>
      <c r="E32" s="11">
        <v>11</v>
      </c>
    </row>
    <row r="33" spans="1:5" x14ac:dyDescent="0.3">
      <c r="A33" s="11" t="s">
        <v>145</v>
      </c>
      <c r="B33" s="11">
        <v>2026</v>
      </c>
      <c r="C33" s="11">
        <v>4</v>
      </c>
      <c r="D33" s="11">
        <v>9</v>
      </c>
      <c r="E33" s="11">
        <v>11</v>
      </c>
    </row>
    <row r="34" spans="1:5" x14ac:dyDescent="0.3">
      <c r="A34" s="11" t="s">
        <v>149</v>
      </c>
      <c r="B34" s="11">
        <v>2026</v>
      </c>
      <c r="C34" s="11">
        <v>5</v>
      </c>
      <c r="D34" s="11">
        <v>56</v>
      </c>
      <c r="E34" s="11">
        <v>9</v>
      </c>
    </row>
    <row r="35" spans="1:5" x14ac:dyDescent="0.3">
      <c r="A35" s="11" t="s">
        <v>152</v>
      </c>
      <c r="B35" s="11">
        <v>2026</v>
      </c>
      <c r="C35" s="11">
        <v>1</v>
      </c>
      <c r="D35" s="11">
        <v>31</v>
      </c>
      <c r="E35" s="11">
        <v>8</v>
      </c>
    </row>
    <row r="36" spans="1:5" x14ac:dyDescent="0.3">
      <c r="A36" s="11" t="s">
        <v>155</v>
      </c>
      <c r="B36" s="11">
        <v>2026</v>
      </c>
      <c r="C36" s="11">
        <v>5</v>
      </c>
      <c r="D36" s="11">
        <v>25</v>
      </c>
      <c r="E36" s="11">
        <v>3</v>
      </c>
    </row>
    <row r="37" spans="1:5" x14ac:dyDescent="0.3">
      <c r="A37" s="11" t="s">
        <v>158</v>
      </c>
      <c r="B37" s="11">
        <v>2026</v>
      </c>
      <c r="C37" s="11">
        <v>1</v>
      </c>
      <c r="D37" s="11">
        <v>58</v>
      </c>
      <c r="E37" s="11">
        <v>11</v>
      </c>
    </row>
    <row r="38" spans="1:5" x14ac:dyDescent="0.3">
      <c r="A38" s="11" t="s">
        <v>161</v>
      </c>
      <c r="B38" s="11">
        <v>2026</v>
      </c>
      <c r="C38" s="11">
        <v>4</v>
      </c>
      <c r="D38" s="11">
        <v>25</v>
      </c>
      <c r="E38" s="11">
        <v>10</v>
      </c>
    </row>
    <row r="39" spans="1:5" x14ac:dyDescent="0.3">
      <c r="A39" s="11" t="s">
        <v>164</v>
      </c>
      <c r="B39" s="11">
        <v>2026</v>
      </c>
      <c r="C39" s="11">
        <v>4</v>
      </c>
      <c r="D39" s="11">
        <v>41</v>
      </c>
      <c r="E39" s="11">
        <v>4</v>
      </c>
    </row>
    <row r="40" spans="1:5" x14ac:dyDescent="0.3">
      <c r="A40" s="11" t="s">
        <v>167</v>
      </c>
      <c r="B40" s="11">
        <v>2026</v>
      </c>
      <c r="C40" s="11">
        <v>3</v>
      </c>
      <c r="D40" s="11">
        <v>7</v>
      </c>
      <c r="E40" s="11">
        <v>9</v>
      </c>
    </row>
    <row r="41" spans="1:5" x14ac:dyDescent="0.3">
      <c r="A41" s="11" t="s">
        <v>171</v>
      </c>
      <c r="B41" s="11">
        <v>2026</v>
      </c>
      <c r="C41" s="11">
        <v>2</v>
      </c>
      <c r="D41" s="11">
        <v>14</v>
      </c>
      <c r="E41" s="11">
        <v>3</v>
      </c>
    </row>
    <row r="42" spans="1:5" x14ac:dyDescent="0.3">
      <c r="A42" s="11" t="s">
        <v>174</v>
      </c>
      <c r="B42" s="11">
        <v>2026</v>
      </c>
      <c r="C42" s="11">
        <v>4</v>
      </c>
      <c r="D42" s="11">
        <v>49</v>
      </c>
      <c r="E42" s="11">
        <v>12</v>
      </c>
    </row>
    <row r="43" spans="1:5" x14ac:dyDescent="0.3">
      <c r="A43" s="11" t="s">
        <v>177</v>
      </c>
      <c r="B43" s="11">
        <v>2026</v>
      </c>
      <c r="C43" s="11">
        <v>3</v>
      </c>
      <c r="D43" s="11">
        <v>11</v>
      </c>
      <c r="E43" s="11">
        <v>11</v>
      </c>
    </row>
    <row r="44" spans="1:5" x14ac:dyDescent="0.3">
      <c r="A44" s="11" t="s">
        <v>180</v>
      </c>
      <c r="B44" s="11">
        <v>2026</v>
      </c>
      <c r="C44" s="11">
        <v>5</v>
      </c>
      <c r="D44" s="11">
        <v>42</v>
      </c>
      <c r="E44" s="11">
        <v>7</v>
      </c>
    </row>
    <row r="45" spans="1:5" x14ac:dyDescent="0.3">
      <c r="A45" s="11" t="s">
        <v>183</v>
      </c>
      <c r="B45" s="11">
        <v>2026</v>
      </c>
      <c r="C45" s="11">
        <v>3</v>
      </c>
      <c r="D45" s="11">
        <v>49</v>
      </c>
      <c r="E45" s="11">
        <v>8</v>
      </c>
    </row>
    <row r="46" spans="1:5" x14ac:dyDescent="0.3">
      <c r="A46" s="11" t="s">
        <v>186</v>
      </c>
      <c r="B46" s="11">
        <v>2026</v>
      </c>
      <c r="C46" s="11">
        <v>1</v>
      </c>
      <c r="D46" s="11">
        <v>27</v>
      </c>
      <c r="E46" s="11">
        <v>9</v>
      </c>
    </row>
    <row r="47" spans="1:5" x14ac:dyDescent="0.3">
      <c r="A47" s="11" t="s">
        <v>189</v>
      </c>
      <c r="B47" s="11">
        <v>2026</v>
      </c>
      <c r="C47" s="11">
        <v>4</v>
      </c>
      <c r="D47" s="11">
        <v>34</v>
      </c>
      <c r="E47" s="11">
        <v>1</v>
      </c>
    </row>
    <row r="48" spans="1:5" x14ac:dyDescent="0.3">
      <c r="A48" s="11" t="s">
        <v>192</v>
      </c>
      <c r="B48" s="11">
        <v>2026</v>
      </c>
      <c r="C48" s="11">
        <v>5</v>
      </c>
      <c r="D48" s="11">
        <v>8</v>
      </c>
      <c r="E48" s="11">
        <v>3</v>
      </c>
    </row>
    <row r="49" spans="1:5" x14ac:dyDescent="0.3">
      <c r="A49" s="11" t="s">
        <v>195</v>
      </c>
      <c r="B49" s="11">
        <v>2026</v>
      </c>
      <c r="C49" s="11">
        <v>5</v>
      </c>
      <c r="D49" s="11">
        <v>58</v>
      </c>
      <c r="E49" s="11">
        <v>1</v>
      </c>
    </row>
    <row r="50" spans="1:5" x14ac:dyDescent="0.3">
      <c r="A50" s="11" t="s">
        <v>198</v>
      </c>
      <c r="B50" s="11">
        <v>2026</v>
      </c>
      <c r="C50" s="11">
        <v>2</v>
      </c>
      <c r="D50" s="11">
        <v>11</v>
      </c>
      <c r="E50" s="11">
        <v>6</v>
      </c>
    </row>
    <row r="51" spans="1:5" x14ac:dyDescent="0.3">
      <c r="A51" s="11" t="s">
        <v>201</v>
      </c>
      <c r="B51" s="11">
        <v>2026</v>
      </c>
      <c r="C51" s="11">
        <v>1</v>
      </c>
      <c r="D51" s="11">
        <v>12</v>
      </c>
      <c r="E51" s="11">
        <v>4</v>
      </c>
    </row>
    <row r="52" spans="1:5" x14ac:dyDescent="0.3">
      <c r="A52" s="11" t="s">
        <v>203</v>
      </c>
      <c r="B52" s="11">
        <v>2026</v>
      </c>
      <c r="C52" s="11">
        <v>5</v>
      </c>
      <c r="D52" s="11">
        <v>54</v>
      </c>
      <c r="E52" s="11">
        <v>5</v>
      </c>
    </row>
    <row r="53" spans="1:5" x14ac:dyDescent="0.3">
      <c r="A53" s="11" t="s">
        <v>206</v>
      </c>
      <c r="B53" s="11">
        <v>2026</v>
      </c>
      <c r="C53" s="11">
        <v>4</v>
      </c>
      <c r="D53" s="11">
        <v>38</v>
      </c>
      <c r="E53" s="11">
        <v>4</v>
      </c>
    </row>
    <row r="54" spans="1:5" x14ac:dyDescent="0.3">
      <c r="A54" s="11" t="s">
        <v>209</v>
      </c>
      <c r="B54" s="11">
        <v>2026</v>
      </c>
      <c r="C54" s="11">
        <v>4</v>
      </c>
      <c r="D54" s="11">
        <v>47</v>
      </c>
      <c r="E54" s="11">
        <v>1</v>
      </c>
    </row>
    <row r="55" spans="1:5" x14ac:dyDescent="0.3">
      <c r="A55" s="11" t="s">
        <v>212</v>
      </c>
      <c r="B55" s="11">
        <v>2026</v>
      </c>
      <c r="C55" s="11">
        <v>2</v>
      </c>
      <c r="D55" s="11">
        <v>41</v>
      </c>
      <c r="E55" s="11">
        <v>5</v>
      </c>
    </row>
    <row r="56" spans="1:5" x14ac:dyDescent="0.3">
      <c r="A56" s="11" t="s">
        <v>215</v>
      </c>
      <c r="B56" s="11">
        <v>2026</v>
      </c>
      <c r="C56" s="11">
        <v>1</v>
      </c>
      <c r="D56" s="11">
        <v>59</v>
      </c>
      <c r="E56" s="11">
        <v>8</v>
      </c>
    </row>
    <row r="57" spans="1:5" x14ac:dyDescent="0.3">
      <c r="A57" s="11" t="s">
        <v>218</v>
      </c>
      <c r="B57" s="11">
        <v>2026</v>
      </c>
      <c r="C57" s="11">
        <v>3</v>
      </c>
      <c r="D57" s="11">
        <v>13</v>
      </c>
      <c r="E57" s="11">
        <v>12</v>
      </c>
    </row>
    <row r="58" spans="1:5" x14ac:dyDescent="0.3">
      <c r="A58" s="11" t="s">
        <v>221</v>
      </c>
      <c r="B58" s="11">
        <v>2026</v>
      </c>
      <c r="C58" s="11">
        <v>4</v>
      </c>
      <c r="D58" s="11">
        <v>22</v>
      </c>
      <c r="E58" s="11">
        <v>9</v>
      </c>
    </row>
    <row r="59" spans="1:5" x14ac:dyDescent="0.3">
      <c r="A59" s="11" t="s">
        <v>224</v>
      </c>
      <c r="B59" s="11">
        <v>2026</v>
      </c>
      <c r="C59" s="11">
        <v>2</v>
      </c>
      <c r="D59" s="11">
        <v>5</v>
      </c>
      <c r="E59" s="11">
        <v>4</v>
      </c>
    </row>
    <row r="60" spans="1:5" x14ac:dyDescent="0.3">
      <c r="A60" s="11" t="s">
        <v>227</v>
      </c>
      <c r="B60" s="11">
        <v>2026</v>
      </c>
      <c r="C60" s="11">
        <v>3</v>
      </c>
      <c r="D60" s="11">
        <v>38</v>
      </c>
      <c r="E60" s="11">
        <v>0</v>
      </c>
    </row>
    <row r="61" spans="1:5" x14ac:dyDescent="0.3">
      <c r="A61" s="11" t="s">
        <v>230</v>
      </c>
      <c r="B61" s="11">
        <v>2026</v>
      </c>
      <c r="C61" s="11">
        <v>3</v>
      </c>
      <c r="D61" s="11">
        <v>50</v>
      </c>
      <c r="E61" s="11">
        <v>5</v>
      </c>
    </row>
    <row r="62" spans="1:5" x14ac:dyDescent="0.3">
      <c r="A62" s="11" t="s">
        <v>233</v>
      </c>
      <c r="B62" s="11">
        <v>2026</v>
      </c>
      <c r="C62" s="11">
        <v>4</v>
      </c>
      <c r="D62" s="11">
        <v>2</v>
      </c>
      <c r="E62" s="11">
        <v>3</v>
      </c>
    </row>
    <row r="63" spans="1:5" x14ac:dyDescent="0.3">
      <c r="A63" s="11" t="s">
        <v>236</v>
      </c>
      <c r="B63" s="11">
        <v>2026</v>
      </c>
      <c r="C63" s="11">
        <v>5</v>
      </c>
      <c r="D63" s="11">
        <v>38</v>
      </c>
      <c r="E63" s="11">
        <v>12</v>
      </c>
    </row>
    <row r="64" spans="1:5" x14ac:dyDescent="0.3">
      <c r="A64" s="11" t="s">
        <v>239</v>
      </c>
      <c r="B64" s="11">
        <v>2026</v>
      </c>
      <c r="C64" s="11">
        <v>1</v>
      </c>
      <c r="D64" s="11">
        <v>41</v>
      </c>
      <c r="E64" s="11">
        <v>1</v>
      </c>
    </row>
    <row r="65" spans="1:5" x14ac:dyDescent="0.3">
      <c r="A65" s="11" t="s">
        <v>242</v>
      </c>
      <c r="B65" s="11">
        <v>2026</v>
      </c>
      <c r="C65" s="11">
        <v>3</v>
      </c>
      <c r="D65" s="11">
        <v>12</v>
      </c>
      <c r="E65" s="11">
        <v>10</v>
      </c>
    </row>
    <row r="66" spans="1:5" x14ac:dyDescent="0.3">
      <c r="A66" s="11" t="s">
        <v>245</v>
      </c>
      <c r="B66" s="11">
        <v>2026</v>
      </c>
      <c r="C66" s="11">
        <v>3</v>
      </c>
      <c r="D66" s="11">
        <v>21</v>
      </c>
      <c r="E66" s="11">
        <v>11</v>
      </c>
    </row>
    <row r="67" spans="1:5" x14ac:dyDescent="0.3">
      <c r="A67" s="11" t="s">
        <v>248</v>
      </c>
      <c r="B67" s="11">
        <v>2026</v>
      </c>
      <c r="C67" s="11">
        <v>5</v>
      </c>
      <c r="D67" s="11">
        <v>7</v>
      </c>
      <c r="E67" s="11">
        <v>11</v>
      </c>
    </row>
    <row r="68" spans="1:5" x14ac:dyDescent="0.3">
      <c r="A68" s="11" t="s">
        <v>251</v>
      </c>
      <c r="B68" s="11">
        <v>2026</v>
      </c>
      <c r="C68" s="11">
        <v>3</v>
      </c>
      <c r="D68" s="11">
        <v>7</v>
      </c>
      <c r="E68" s="11">
        <v>5</v>
      </c>
    </row>
    <row r="69" spans="1:5" x14ac:dyDescent="0.3">
      <c r="A69" s="11" t="s">
        <v>254</v>
      </c>
      <c r="B69" s="11">
        <v>2026</v>
      </c>
      <c r="C69" s="11">
        <v>2</v>
      </c>
      <c r="D69" s="11">
        <v>42</v>
      </c>
      <c r="E69" s="11">
        <v>12</v>
      </c>
    </row>
    <row r="70" spans="1:5" x14ac:dyDescent="0.3">
      <c r="A70" s="11" t="s">
        <v>257</v>
      </c>
      <c r="B70" s="11">
        <v>2026</v>
      </c>
      <c r="C70" s="11">
        <v>4</v>
      </c>
      <c r="D70" s="11">
        <v>11</v>
      </c>
      <c r="E70" s="11">
        <v>5</v>
      </c>
    </row>
    <row r="71" spans="1:5" x14ac:dyDescent="0.3">
      <c r="A71" s="11" t="s">
        <v>260</v>
      </c>
      <c r="B71" s="11">
        <v>2026</v>
      </c>
      <c r="C71" s="11">
        <v>4</v>
      </c>
      <c r="D71" s="11">
        <v>6</v>
      </c>
      <c r="E71" s="11">
        <v>7</v>
      </c>
    </row>
    <row r="72" spans="1:5" x14ac:dyDescent="0.3">
      <c r="A72" s="11" t="s">
        <v>263</v>
      </c>
      <c r="B72" s="11">
        <v>2026</v>
      </c>
      <c r="C72" s="11">
        <v>2</v>
      </c>
      <c r="D72" s="11">
        <v>6</v>
      </c>
      <c r="E72" s="11">
        <v>0</v>
      </c>
    </row>
    <row r="73" spans="1:5" x14ac:dyDescent="0.3">
      <c r="A73" s="11" t="s">
        <v>266</v>
      </c>
      <c r="B73" s="11">
        <v>2026</v>
      </c>
      <c r="C73" s="11">
        <v>4</v>
      </c>
      <c r="D73" s="11">
        <v>38</v>
      </c>
      <c r="E73" s="11">
        <v>6</v>
      </c>
    </row>
    <row r="74" spans="1:5" x14ac:dyDescent="0.3">
      <c r="A74" s="11" t="s">
        <v>269</v>
      </c>
      <c r="B74" s="11">
        <v>2026</v>
      </c>
      <c r="C74" s="11">
        <v>3</v>
      </c>
      <c r="D74" s="11">
        <v>37</v>
      </c>
      <c r="E74" s="11">
        <v>2</v>
      </c>
    </row>
    <row r="75" spans="1:5" x14ac:dyDescent="0.3">
      <c r="A75" s="11" t="s">
        <v>272</v>
      </c>
      <c r="B75" s="11">
        <v>2026</v>
      </c>
      <c r="C75" s="11">
        <v>3</v>
      </c>
      <c r="D75" s="11">
        <v>1</v>
      </c>
      <c r="E75" s="11">
        <v>6</v>
      </c>
    </row>
    <row r="76" spans="1:5" x14ac:dyDescent="0.3">
      <c r="A76" s="11" t="s">
        <v>275</v>
      </c>
      <c r="B76" s="11">
        <v>2026</v>
      </c>
      <c r="C76" s="11">
        <v>5</v>
      </c>
      <c r="D76" s="11">
        <v>9</v>
      </c>
      <c r="E76" s="11">
        <v>8</v>
      </c>
    </row>
    <row r="77" spans="1:5" x14ac:dyDescent="0.3">
      <c r="A77" s="11" t="s">
        <v>278</v>
      </c>
      <c r="B77" s="11">
        <v>2026</v>
      </c>
      <c r="C77" s="11">
        <v>3</v>
      </c>
      <c r="D77" s="11">
        <v>29</v>
      </c>
      <c r="E77" s="11">
        <v>1</v>
      </c>
    </row>
    <row r="78" spans="1:5" x14ac:dyDescent="0.3">
      <c r="A78" s="11" t="s">
        <v>281</v>
      </c>
      <c r="B78" s="11">
        <v>2026</v>
      </c>
      <c r="C78" s="11">
        <v>1</v>
      </c>
      <c r="D78" s="11">
        <v>14</v>
      </c>
      <c r="E78" s="11">
        <v>3</v>
      </c>
    </row>
    <row r="79" spans="1:5" x14ac:dyDescent="0.3">
      <c r="A79" s="11" t="s">
        <v>284</v>
      </c>
      <c r="B79" s="11">
        <v>2026</v>
      </c>
      <c r="C79" s="11">
        <v>4</v>
      </c>
      <c r="D79" s="11">
        <v>19</v>
      </c>
      <c r="E79" s="11">
        <v>5</v>
      </c>
    </row>
    <row r="80" spans="1:5" x14ac:dyDescent="0.3">
      <c r="A80" s="11" t="s">
        <v>287</v>
      </c>
      <c r="B80" s="11">
        <v>2026</v>
      </c>
      <c r="C80" s="11">
        <v>1</v>
      </c>
      <c r="D80" s="11">
        <v>40</v>
      </c>
      <c r="E80" s="11">
        <v>12</v>
      </c>
    </row>
    <row r="81" spans="1:5" x14ac:dyDescent="0.3">
      <c r="A81" s="11" t="s">
        <v>290</v>
      </c>
      <c r="B81" s="11">
        <v>2026</v>
      </c>
      <c r="C81" s="11">
        <v>2</v>
      </c>
      <c r="D81" s="11">
        <v>30</v>
      </c>
      <c r="E81" s="11">
        <v>12</v>
      </c>
    </row>
    <row r="82" spans="1:5" x14ac:dyDescent="0.3">
      <c r="A82" s="11" t="s">
        <v>293</v>
      </c>
      <c r="B82" s="11">
        <v>2026</v>
      </c>
      <c r="C82" s="11">
        <v>4</v>
      </c>
      <c r="D82" s="11">
        <v>17</v>
      </c>
      <c r="E82" s="11">
        <v>3</v>
      </c>
    </row>
    <row r="83" spans="1:5" x14ac:dyDescent="0.3">
      <c r="A83" s="11" t="s">
        <v>296</v>
      </c>
      <c r="B83" s="11">
        <v>2026</v>
      </c>
      <c r="C83" s="11">
        <v>1</v>
      </c>
      <c r="D83" s="11">
        <v>29</v>
      </c>
      <c r="E83" s="11">
        <v>4</v>
      </c>
    </row>
    <row r="84" spans="1:5" x14ac:dyDescent="0.3">
      <c r="A84" s="11" t="s">
        <v>299</v>
      </c>
      <c r="B84" s="11">
        <v>2026</v>
      </c>
      <c r="C84" s="11">
        <v>3</v>
      </c>
      <c r="D84" s="11">
        <v>54</v>
      </c>
      <c r="E84" s="11">
        <v>5</v>
      </c>
    </row>
    <row r="85" spans="1:5" x14ac:dyDescent="0.3">
      <c r="A85" s="11" t="s">
        <v>302</v>
      </c>
      <c r="B85" s="11">
        <v>2026</v>
      </c>
      <c r="C85" s="11">
        <v>2</v>
      </c>
      <c r="D85" s="11">
        <v>1</v>
      </c>
      <c r="E85" s="11">
        <v>10</v>
      </c>
    </row>
    <row r="86" spans="1:5" x14ac:dyDescent="0.3">
      <c r="A86" s="11" t="s">
        <v>305</v>
      </c>
      <c r="B86" s="11">
        <v>2026</v>
      </c>
      <c r="C86" s="11">
        <v>4</v>
      </c>
      <c r="D86" s="11">
        <v>60</v>
      </c>
      <c r="E86" s="11">
        <v>3</v>
      </c>
    </row>
    <row r="87" spans="1:5" x14ac:dyDescent="0.3">
      <c r="A87" s="11" t="s">
        <v>308</v>
      </c>
      <c r="B87" s="11">
        <v>2026</v>
      </c>
      <c r="C87" s="11">
        <v>3</v>
      </c>
      <c r="D87" s="11">
        <v>14</v>
      </c>
      <c r="E87" s="11">
        <v>0</v>
      </c>
    </row>
    <row r="88" spans="1:5" x14ac:dyDescent="0.3">
      <c r="A88" s="11" t="s">
        <v>310</v>
      </c>
      <c r="B88" s="11">
        <v>2026</v>
      </c>
      <c r="C88" s="11">
        <v>5</v>
      </c>
      <c r="D88" s="11">
        <v>23</v>
      </c>
      <c r="E88" s="11">
        <v>10</v>
      </c>
    </row>
    <row r="89" spans="1:5" x14ac:dyDescent="0.3">
      <c r="A89" s="11" t="s">
        <v>313</v>
      </c>
      <c r="B89" s="11">
        <v>2026</v>
      </c>
      <c r="C89" s="11">
        <v>5</v>
      </c>
      <c r="D89" s="11">
        <v>5</v>
      </c>
      <c r="E89" s="11">
        <v>5</v>
      </c>
    </row>
    <row r="90" spans="1:5" x14ac:dyDescent="0.3">
      <c r="A90" s="11" t="s">
        <v>316</v>
      </c>
      <c r="B90" s="11">
        <v>2026</v>
      </c>
      <c r="C90" s="11">
        <v>1</v>
      </c>
      <c r="D90" s="11">
        <v>31</v>
      </c>
      <c r="E90" s="11">
        <v>2</v>
      </c>
    </row>
    <row r="91" spans="1:5" x14ac:dyDescent="0.3">
      <c r="A91" s="11" t="s">
        <v>319</v>
      </c>
      <c r="B91" s="11">
        <v>2026</v>
      </c>
      <c r="C91" s="11">
        <v>3</v>
      </c>
      <c r="D91" s="11">
        <v>25</v>
      </c>
      <c r="E91" s="11">
        <v>2</v>
      </c>
    </row>
    <row r="92" spans="1:5" x14ac:dyDescent="0.3">
      <c r="A92" s="11" t="s">
        <v>322</v>
      </c>
      <c r="B92" s="11">
        <v>2026</v>
      </c>
      <c r="C92" s="11">
        <v>1</v>
      </c>
      <c r="D92" s="11">
        <v>9</v>
      </c>
      <c r="E92" s="11">
        <v>2</v>
      </c>
    </row>
    <row r="93" spans="1:5" x14ac:dyDescent="0.3">
      <c r="A93" s="11" t="s">
        <v>325</v>
      </c>
      <c r="B93" s="11">
        <v>2026</v>
      </c>
      <c r="C93" s="11">
        <v>3</v>
      </c>
      <c r="D93" s="11">
        <v>7</v>
      </c>
      <c r="E93" s="11">
        <v>4</v>
      </c>
    </row>
    <row r="94" spans="1:5" x14ac:dyDescent="0.3">
      <c r="A94" s="11" t="s">
        <v>328</v>
      </c>
      <c r="B94" s="11">
        <v>2026</v>
      </c>
      <c r="C94" s="11">
        <v>2</v>
      </c>
      <c r="D94" s="11">
        <v>5</v>
      </c>
      <c r="E94" s="11">
        <v>4</v>
      </c>
    </row>
    <row r="95" spans="1:5" x14ac:dyDescent="0.3">
      <c r="A95" s="11" t="s">
        <v>331</v>
      </c>
      <c r="B95" s="11">
        <v>2026</v>
      </c>
      <c r="C95" s="11">
        <v>1</v>
      </c>
      <c r="D95" s="11">
        <v>28</v>
      </c>
      <c r="E95" s="11">
        <v>10</v>
      </c>
    </row>
    <row r="96" spans="1:5" x14ac:dyDescent="0.3">
      <c r="A96" s="11" t="s">
        <v>334</v>
      </c>
      <c r="B96" s="11">
        <v>2026</v>
      </c>
      <c r="C96" s="11">
        <v>2</v>
      </c>
      <c r="D96" s="11">
        <v>44</v>
      </c>
      <c r="E96" s="11">
        <v>5</v>
      </c>
    </row>
    <row r="97" spans="1:5" x14ac:dyDescent="0.3">
      <c r="A97" s="11" t="s">
        <v>337</v>
      </c>
      <c r="B97" s="11">
        <v>2026</v>
      </c>
      <c r="C97" s="11">
        <v>4</v>
      </c>
      <c r="D97" s="11">
        <v>41</v>
      </c>
      <c r="E97" s="11">
        <v>5</v>
      </c>
    </row>
    <row r="98" spans="1:5" x14ac:dyDescent="0.3">
      <c r="A98" s="11" t="s">
        <v>340</v>
      </c>
      <c r="B98" s="11">
        <v>2026</v>
      </c>
      <c r="C98" s="11">
        <v>2</v>
      </c>
      <c r="D98" s="11">
        <v>10</v>
      </c>
      <c r="E98" s="11">
        <v>5</v>
      </c>
    </row>
    <row r="99" spans="1:5" x14ac:dyDescent="0.3">
      <c r="A99" s="11" t="s">
        <v>343</v>
      </c>
      <c r="B99" s="11">
        <v>2026</v>
      </c>
      <c r="C99" s="11">
        <v>2</v>
      </c>
      <c r="D99" s="11">
        <v>15</v>
      </c>
      <c r="E99" s="11">
        <v>7</v>
      </c>
    </row>
    <row r="100" spans="1:5" x14ac:dyDescent="0.3">
      <c r="A100" s="11" t="s">
        <v>346</v>
      </c>
      <c r="B100" s="11">
        <v>2026</v>
      </c>
      <c r="C100" s="11">
        <v>4</v>
      </c>
      <c r="D100" s="11">
        <v>59</v>
      </c>
      <c r="E100" s="11">
        <v>11</v>
      </c>
    </row>
    <row r="101" spans="1:5" x14ac:dyDescent="0.3">
      <c r="A101" s="11" t="s">
        <v>349</v>
      </c>
      <c r="B101" s="11">
        <v>2026</v>
      </c>
      <c r="C101" s="11">
        <v>1</v>
      </c>
      <c r="D101" s="11">
        <v>23</v>
      </c>
      <c r="E101" s="11">
        <v>8</v>
      </c>
    </row>
    <row r="102" spans="1:5" x14ac:dyDescent="0.3">
      <c r="A102" s="11" t="s">
        <v>352</v>
      </c>
      <c r="B102" s="11">
        <v>2026</v>
      </c>
      <c r="C102" s="11">
        <v>5</v>
      </c>
      <c r="D102" s="11">
        <v>31</v>
      </c>
      <c r="E102" s="11">
        <v>12</v>
      </c>
    </row>
    <row r="103" spans="1:5" x14ac:dyDescent="0.3">
      <c r="A103" s="11" t="s">
        <v>355</v>
      </c>
      <c r="B103" s="11">
        <v>2026</v>
      </c>
      <c r="C103" s="11">
        <v>5</v>
      </c>
      <c r="D103" s="11">
        <v>3</v>
      </c>
      <c r="E103" s="11">
        <v>12</v>
      </c>
    </row>
    <row r="104" spans="1:5" x14ac:dyDescent="0.3">
      <c r="A104" s="11" t="s">
        <v>358</v>
      </c>
      <c r="B104" s="11">
        <v>2026</v>
      </c>
      <c r="C104" s="11">
        <v>5</v>
      </c>
      <c r="D104" s="11">
        <v>34</v>
      </c>
      <c r="E104" s="11">
        <v>9</v>
      </c>
    </row>
    <row r="105" spans="1:5" x14ac:dyDescent="0.3">
      <c r="A105" s="11" t="s">
        <v>361</v>
      </c>
      <c r="B105" s="11">
        <v>2026</v>
      </c>
      <c r="C105" s="11">
        <v>3</v>
      </c>
      <c r="D105" s="11">
        <v>57</v>
      </c>
      <c r="E105" s="11">
        <v>1</v>
      </c>
    </row>
    <row r="106" spans="1:5" x14ac:dyDescent="0.3">
      <c r="A106" s="11" t="s">
        <v>364</v>
      </c>
      <c r="B106" s="11">
        <v>2026</v>
      </c>
      <c r="C106" s="11">
        <v>3</v>
      </c>
      <c r="D106" s="11">
        <v>24</v>
      </c>
      <c r="E106" s="11">
        <v>9</v>
      </c>
    </row>
    <row r="107" spans="1:5" x14ac:dyDescent="0.3">
      <c r="A107" s="11" t="s">
        <v>367</v>
      </c>
      <c r="B107" s="11">
        <v>2026</v>
      </c>
      <c r="C107" s="11">
        <v>5</v>
      </c>
      <c r="D107" s="11">
        <v>6</v>
      </c>
      <c r="E107" s="11">
        <v>5</v>
      </c>
    </row>
    <row r="108" spans="1:5" x14ac:dyDescent="0.3">
      <c r="A108" s="11" t="s">
        <v>370</v>
      </c>
      <c r="B108" s="11">
        <v>2026</v>
      </c>
      <c r="C108" s="11">
        <v>1</v>
      </c>
      <c r="D108" s="11">
        <v>49</v>
      </c>
      <c r="E108" s="11">
        <v>9</v>
      </c>
    </row>
    <row r="109" spans="1:5" x14ac:dyDescent="0.3">
      <c r="A109" s="11" t="s">
        <v>373</v>
      </c>
      <c r="B109" s="11">
        <v>2026</v>
      </c>
      <c r="C109" s="11">
        <v>1</v>
      </c>
      <c r="D109" s="11">
        <v>23</v>
      </c>
      <c r="E109" s="11">
        <v>11</v>
      </c>
    </row>
    <row r="110" spans="1:5" x14ac:dyDescent="0.3">
      <c r="A110" s="11" t="s">
        <v>376</v>
      </c>
      <c r="B110" s="11">
        <v>2026</v>
      </c>
      <c r="C110" s="11">
        <v>3</v>
      </c>
      <c r="D110" s="11">
        <v>38</v>
      </c>
      <c r="E110" s="11">
        <v>3</v>
      </c>
    </row>
    <row r="111" spans="1:5" x14ac:dyDescent="0.3">
      <c r="A111" s="11" t="s">
        <v>379</v>
      </c>
      <c r="B111" s="11">
        <v>2026</v>
      </c>
      <c r="C111" s="11">
        <v>4</v>
      </c>
      <c r="D111" s="11">
        <v>50</v>
      </c>
      <c r="E111" s="11">
        <v>7</v>
      </c>
    </row>
    <row r="112" spans="1:5" x14ac:dyDescent="0.3">
      <c r="A112" s="11" t="s">
        <v>382</v>
      </c>
      <c r="B112" s="11">
        <v>2026</v>
      </c>
      <c r="C112" s="11">
        <v>5</v>
      </c>
      <c r="D112" s="11">
        <v>12</v>
      </c>
      <c r="E112" s="11">
        <v>0</v>
      </c>
    </row>
    <row r="113" spans="1:5" x14ac:dyDescent="0.3">
      <c r="A113" s="11" t="s">
        <v>385</v>
      </c>
      <c r="B113" s="11">
        <v>2026</v>
      </c>
      <c r="C113" s="11">
        <v>2</v>
      </c>
      <c r="D113" s="11">
        <v>52</v>
      </c>
      <c r="E113" s="11">
        <v>12</v>
      </c>
    </row>
    <row r="114" spans="1:5" x14ac:dyDescent="0.3">
      <c r="A114" s="11" t="s">
        <v>388</v>
      </c>
      <c r="B114" s="11">
        <v>2026</v>
      </c>
      <c r="C114" s="11">
        <v>5</v>
      </c>
      <c r="D114" s="11">
        <v>32</v>
      </c>
      <c r="E114" s="11">
        <v>11</v>
      </c>
    </row>
    <row r="115" spans="1:5" x14ac:dyDescent="0.3">
      <c r="A115" s="11" t="s">
        <v>391</v>
      </c>
      <c r="B115" s="11">
        <v>2026</v>
      </c>
      <c r="C115" s="11">
        <v>3</v>
      </c>
      <c r="D115" s="11">
        <v>10</v>
      </c>
      <c r="E115" s="11">
        <v>8</v>
      </c>
    </row>
    <row r="116" spans="1:5" x14ac:dyDescent="0.3">
      <c r="A116" s="11" t="s">
        <v>394</v>
      </c>
      <c r="B116" s="11">
        <v>2026</v>
      </c>
      <c r="C116" s="11">
        <v>1</v>
      </c>
      <c r="D116" s="11">
        <v>47</v>
      </c>
      <c r="E116" s="11">
        <v>11</v>
      </c>
    </row>
    <row r="117" spans="1:5" x14ac:dyDescent="0.3">
      <c r="A117" s="11" t="s">
        <v>397</v>
      </c>
      <c r="B117" s="11">
        <v>2026</v>
      </c>
      <c r="C117" s="11">
        <v>5</v>
      </c>
      <c r="D117" s="11">
        <v>10</v>
      </c>
      <c r="E117" s="11">
        <v>1</v>
      </c>
    </row>
    <row r="118" spans="1:5" x14ac:dyDescent="0.3">
      <c r="A118" s="11" t="s">
        <v>400</v>
      </c>
      <c r="B118" s="11">
        <v>2026</v>
      </c>
      <c r="C118" s="11">
        <v>1</v>
      </c>
      <c r="D118" s="11">
        <v>54</v>
      </c>
      <c r="E118" s="11">
        <v>5</v>
      </c>
    </row>
    <row r="119" spans="1:5" x14ac:dyDescent="0.3">
      <c r="A119" s="11" t="s">
        <v>402</v>
      </c>
      <c r="B119" s="11">
        <v>2026</v>
      </c>
      <c r="C119" s="11">
        <v>5</v>
      </c>
      <c r="D119" s="11">
        <v>32</v>
      </c>
      <c r="E119" s="11">
        <v>12</v>
      </c>
    </row>
    <row r="120" spans="1:5" x14ac:dyDescent="0.3">
      <c r="A120" s="11" t="s">
        <v>405</v>
      </c>
      <c r="B120" s="11">
        <v>2026</v>
      </c>
      <c r="C120" s="11">
        <v>2</v>
      </c>
      <c r="D120" s="11">
        <v>60</v>
      </c>
      <c r="E120" s="11">
        <v>2</v>
      </c>
    </row>
    <row r="121" spans="1:5" x14ac:dyDescent="0.3">
      <c r="A121" s="11" t="s">
        <v>408</v>
      </c>
      <c r="B121" s="11">
        <v>2026</v>
      </c>
      <c r="C121" s="11">
        <v>2</v>
      </c>
      <c r="D121" s="11">
        <v>37</v>
      </c>
      <c r="E121" s="11">
        <v>11</v>
      </c>
    </row>
    <row r="122" spans="1:5" x14ac:dyDescent="0.3">
      <c r="A122" s="11" t="s">
        <v>411</v>
      </c>
      <c r="B122" s="11">
        <v>2026</v>
      </c>
      <c r="C122" s="11">
        <v>1</v>
      </c>
      <c r="D122" s="11">
        <v>4</v>
      </c>
      <c r="E122" s="11">
        <v>4</v>
      </c>
    </row>
    <row r="123" spans="1:5" x14ac:dyDescent="0.3">
      <c r="A123" s="11" t="s">
        <v>414</v>
      </c>
      <c r="B123" s="11">
        <v>2026</v>
      </c>
      <c r="C123" s="11">
        <v>5</v>
      </c>
      <c r="D123" s="11">
        <v>58</v>
      </c>
      <c r="E123" s="11">
        <v>8</v>
      </c>
    </row>
    <row r="124" spans="1:5" x14ac:dyDescent="0.3">
      <c r="A124" s="11" t="s">
        <v>417</v>
      </c>
      <c r="B124" s="11">
        <v>2026</v>
      </c>
      <c r="C124" s="11">
        <v>4</v>
      </c>
      <c r="D124" s="11">
        <v>17</v>
      </c>
      <c r="E124" s="11">
        <v>12</v>
      </c>
    </row>
    <row r="125" spans="1:5" x14ac:dyDescent="0.3">
      <c r="A125" s="11" t="s">
        <v>420</v>
      </c>
      <c r="B125" s="11">
        <v>2026</v>
      </c>
      <c r="C125" s="11">
        <v>4</v>
      </c>
      <c r="D125" s="11">
        <v>26</v>
      </c>
      <c r="E125" s="11">
        <v>9</v>
      </c>
    </row>
    <row r="126" spans="1:5" x14ac:dyDescent="0.3">
      <c r="A126" s="11" t="s">
        <v>423</v>
      </c>
      <c r="B126" s="11">
        <v>2026</v>
      </c>
      <c r="C126" s="11">
        <v>4</v>
      </c>
      <c r="D126" s="11">
        <v>60</v>
      </c>
      <c r="E126" s="11">
        <v>3</v>
      </c>
    </row>
    <row r="127" spans="1:5" x14ac:dyDescent="0.3">
      <c r="A127" s="11" t="s">
        <v>426</v>
      </c>
      <c r="B127" s="11">
        <v>2026</v>
      </c>
      <c r="C127" s="11">
        <v>2</v>
      </c>
      <c r="D127" s="11">
        <v>17</v>
      </c>
      <c r="E127" s="11">
        <v>7</v>
      </c>
    </row>
    <row r="128" spans="1:5" x14ac:dyDescent="0.3">
      <c r="A128" s="11" t="s">
        <v>429</v>
      </c>
      <c r="B128" s="11">
        <v>2026</v>
      </c>
      <c r="C128" s="11">
        <v>5</v>
      </c>
      <c r="D128" s="11">
        <v>56</v>
      </c>
      <c r="E128" s="11">
        <v>6</v>
      </c>
    </row>
    <row r="129" spans="1:5" x14ac:dyDescent="0.3">
      <c r="A129" s="11" t="s">
        <v>432</v>
      </c>
      <c r="B129" s="11">
        <v>2026</v>
      </c>
      <c r="C129" s="11">
        <v>1</v>
      </c>
      <c r="D129" s="11">
        <v>14</v>
      </c>
      <c r="E129" s="11">
        <v>6</v>
      </c>
    </row>
    <row r="130" spans="1:5" x14ac:dyDescent="0.3">
      <c r="A130" s="11" t="s">
        <v>435</v>
      </c>
      <c r="B130" s="11">
        <v>2026</v>
      </c>
      <c r="C130" s="11">
        <v>5</v>
      </c>
      <c r="D130" s="11">
        <v>54</v>
      </c>
      <c r="E130" s="11">
        <v>6</v>
      </c>
    </row>
    <row r="131" spans="1:5" x14ac:dyDescent="0.3">
      <c r="A131" s="11" t="s">
        <v>438</v>
      </c>
      <c r="B131" s="11">
        <v>2026</v>
      </c>
      <c r="C131" s="11">
        <v>1</v>
      </c>
      <c r="D131" s="11">
        <v>18</v>
      </c>
      <c r="E131" s="11">
        <v>9</v>
      </c>
    </row>
    <row r="132" spans="1:5" x14ac:dyDescent="0.3">
      <c r="A132" s="11" t="s">
        <v>441</v>
      </c>
      <c r="B132" s="11">
        <v>2026</v>
      </c>
      <c r="C132" s="11">
        <v>5</v>
      </c>
      <c r="D132" s="11">
        <v>13</v>
      </c>
      <c r="E132" s="11">
        <v>1</v>
      </c>
    </row>
    <row r="133" spans="1:5" x14ac:dyDescent="0.3">
      <c r="A133" s="11" t="s">
        <v>444</v>
      </c>
      <c r="B133" s="11">
        <v>2026</v>
      </c>
      <c r="C133" s="11">
        <v>5</v>
      </c>
      <c r="D133" s="11">
        <v>36</v>
      </c>
      <c r="E133" s="11">
        <v>11</v>
      </c>
    </row>
    <row r="134" spans="1:5" x14ac:dyDescent="0.3">
      <c r="A134" s="11" t="s">
        <v>447</v>
      </c>
      <c r="B134" s="11">
        <v>2026</v>
      </c>
      <c r="C134" s="11">
        <v>4</v>
      </c>
      <c r="D134" s="11">
        <v>26</v>
      </c>
      <c r="E134" s="11">
        <v>3</v>
      </c>
    </row>
    <row r="135" spans="1:5" x14ac:dyDescent="0.3">
      <c r="A135" s="11" t="s">
        <v>450</v>
      </c>
      <c r="B135" s="11">
        <v>2026</v>
      </c>
      <c r="C135" s="11">
        <v>2</v>
      </c>
      <c r="D135" s="11">
        <v>50</v>
      </c>
      <c r="E135" s="11">
        <v>8</v>
      </c>
    </row>
    <row r="136" spans="1:5" x14ac:dyDescent="0.3">
      <c r="A136" s="11" t="s">
        <v>453</v>
      </c>
      <c r="B136" s="11">
        <v>2026</v>
      </c>
      <c r="C136" s="11">
        <v>1</v>
      </c>
      <c r="D136" s="11">
        <v>13</v>
      </c>
      <c r="E136" s="11">
        <v>11</v>
      </c>
    </row>
    <row r="137" spans="1:5" x14ac:dyDescent="0.3">
      <c r="A137" s="11" t="s">
        <v>456</v>
      </c>
      <c r="B137" s="11">
        <v>2026</v>
      </c>
      <c r="C137" s="11">
        <v>2</v>
      </c>
      <c r="D137" s="11">
        <v>31</v>
      </c>
      <c r="E137" s="11">
        <v>6</v>
      </c>
    </row>
    <row r="138" spans="1:5" x14ac:dyDescent="0.3">
      <c r="A138" s="11" t="s">
        <v>459</v>
      </c>
      <c r="B138" s="11">
        <v>2026</v>
      </c>
      <c r="C138" s="11">
        <v>3</v>
      </c>
      <c r="D138" s="11">
        <v>41</v>
      </c>
      <c r="E138" s="11">
        <v>11</v>
      </c>
    </row>
    <row r="139" spans="1:5" x14ac:dyDescent="0.3">
      <c r="A139" s="11" t="s">
        <v>462</v>
      </c>
      <c r="B139" s="11">
        <v>2026</v>
      </c>
      <c r="C139" s="11">
        <v>1</v>
      </c>
      <c r="D139" s="11">
        <v>48</v>
      </c>
      <c r="E139" s="11">
        <v>1</v>
      </c>
    </row>
    <row r="140" spans="1:5" x14ac:dyDescent="0.3">
      <c r="A140" s="11" t="s">
        <v>465</v>
      </c>
      <c r="B140" s="11">
        <v>2026</v>
      </c>
      <c r="C140" s="11">
        <v>5</v>
      </c>
      <c r="D140" s="11">
        <v>14</v>
      </c>
      <c r="E140" s="11">
        <v>0</v>
      </c>
    </row>
    <row r="141" spans="1:5" x14ac:dyDescent="0.3">
      <c r="A141" s="11" t="s">
        <v>468</v>
      </c>
      <c r="B141" s="11">
        <v>2026</v>
      </c>
      <c r="C141" s="11">
        <v>2</v>
      </c>
      <c r="D141" s="11">
        <v>46</v>
      </c>
      <c r="E141" s="11">
        <v>4</v>
      </c>
    </row>
    <row r="142" spans="1:5" x14ac:dyDescent="0.3">
      <c r="A142" s="11" t="s">
        <v>471</v>
      </c>
      <c r="B142" s="11">
        <v>2026</v>
      </c>
      <c r="C142" s="11">
        <v>3</v>
      </c>
      <c r="D142" s="11">
        <v>51</v>
      </c>
      <c r="E142" s="11">
        <v>6</v>
      </c>
    </row>
    <row r="143" spans="1:5" x14ac:dyDescent="0.3">
      <c r="A143" s="11" t="s">
        <v>474</v>
      </c>
      <c r="B143" s="11">
        <v>2026</v>
      </c>
      <c r="C143" s="11">
        <v>1</v>
      </c>
      <c r="D143" s="11">
        <v>25</v>
      </c>
      <c r="E143" s="11">
        <v>7</v>
      </c>
    </row>
    <row r="144" spans="1:5" x14ac:dyDescent="0.3">
      <c r="A144" s="11" t="s">
        <v>477</v>
      </c>
      <c r="B144" s="11">
        <v>2026</v>
      </c>
      <c r="C144" s="11">
        <v>3</v>
      </c>
      <c r="D144" s="11">
        <v>36</v>
      </c>
      <c r="E144" s="11">
        <v>3</v>
      </c>
    </row>
    <row r="145" spans="1:5" x14ac:dyDescent="0.3">
      <c r="A145" s="11" t="s">
        <v>480</v>
      </c>
      <c r="B145" s="11">
        <v>2026</v>
      </c>
      <c r="C145" s="11">
        <v>1</v>
      </c>
      <c r="D145" s="11">
        <v>9</v>
      </c>
      <c r="E145" s="11">
        <v>12</v>
      </c>
    </row>
    <row r="146" spans="1:5" x14ac:dyDescent="0.3">
      <c r="A146" s="11" t="s">
        <v>483</v>
      </c>
      <c r="B146" s="11">
        <v>2026</v>
      </c>
      <c r="C146" s="11">
        <v>1</v>
      </c>
      <c r="D146" s="11">
        <v>31</v>
      </c>
      <c r="E146" s="11">
        <v>2</v>
      </c>
    </row>
    <row r="147" spans="1:5" x14ac:dyDescent="0.3">
      <c r="A147" s="11" t="s">
        <v>486</v>
      </c>
      <c r="B147" s="11">
        <v>2026</v>
      </c>
      <c r="C147" s="11">
        <v>3</v>
      </c>
      <c r="D147" s="11">
        <v>27</v>
      </c>
      <c r="E147" s="11">
        <v>11</v>
      </c>
    </row>
    <row r="148" spans="1:5" x14ac:dyDescent="0.3">
      <c r="A148" s="11" t="s">
        <v>489</v>
      </c>
      <c r="B148" s="11">
        <v>2026</v>
      </c>
      <c r="C148" s="11">
        <v>5</v>
      </c>
      <c r="D148" s="11">
        <v>18</v>
      </c>
      <c r="E148" s="11">
        <v>9</v>
      </c>
    </row>
    <row r="149" spans="1:5" x14ac:dyDescent="0.3">
      <c r="A149" s="11" t="s">
        <v>492</v>
      </c>
      <c r="B149" s="11">
        <v>2026</v>
      </c>
      <c r="C149" s="11">
        <v>5</v>
      </c>
      <c r="D149" s="11">
        <v>13</v>
      </c>
      <c r="E149" s="11">
        <v>3</v>
      </c>
    </row>
    <row r="150" spans="1:5" x14ac:dyDescent="0.3">
      <c r="A150" s="11" t="s">
        <v>495</v>
      </c>
      <c r="B150" s="11">
        <v>2026</v>
      </c>
      <c r="C150" s="11">
        <v>4</v>
      </c>
      <c r="D150" s="11">
        <v>12</v>
      </c>
      <c r="E150" s="11">
        <v>7</v>
      </c>
    </row>
    <row r="151" spans="1:5" x14ac:dyDescent="0.3">
      <c r="A151" s="11" t="s">
        <v>497</v>
      </c>
      <c r="B151" s="11">
        <v>2026</v>
      </c>
      <c r="C151" s="11">
        <v>1</v>
      </c>
      <c r="D151" s="11">
        <v>27</v>
      </c>
      <c r="E151" s="11">
        <v>0</v>
      </c>
    </row>
    <row r="152" spans="1:5" x14ac:dyDescent="0.3">
      <c r="A152" s="11" t="s">
        <v>500</v>
      </c>
      <c r="B152" s="11">
        <v>2026</v>
      </c>
      <c r="C152" s="11">
        <v>2</v>
      </c>
      <c r="D152" s="11">
        <v>3</v>
      </c>
      <c r="E152" s="11">
        <v>8</v>
      </c>
    </row>
    <row r="153" spans="1:5" x14ac:dyDescent="0.3">
      <c r="A153" s="11" t="s">
        <v>503</v>
      </c>
      <c r="B153" s="11">
        <v>2026</v>
      </c>
      <c r="C153" s="11">
        <v>5</v>
      </c>
      <c r="D153" s="11">
        <v>55</v>
      </c>
      <c r="E153" s="11">
        <v>6</v>
      </c>
    </row>
    <row r="154" spans="1:5" x14ac:dyDescent="0.3">
      <c r="A154" s="11" t="s">
        <v>506</v>
      </c>
      <c r="B154" s="11">
        <v>2026</v>
      </c>
      <c r="C154" s="11">
        <v>5</v>
      </c>
      <c r="D154" s="11">
        <v>16</v>
      </c>
      <c r="E154" s="11">
        <v>3</v>
      </c>
    </row>
    <row r="155" spans="1:5" x14ac:dyDescent="0.3">
      <c r="A155" s="11" t="s">
        <v>509</v>
      </c>
      <c r="B155" s="11">
        <v>2026</v>
      </c>
      <c r="C155" s="11">
        <v>2</v>
      </c>
      <c r="D155" s="11">
        <v>29</v>
      </c>
      <c r="E155" s="11">
        <v>9</v>
      </c>
    </row>
    <row r="156" spans="1:5" x14ac:dyDescent="0.3">
      <c r="A156" s="11" t="s">
        <v>512</v>
      </c>
      <c r="B156" s="11">
        <v>2026</v>
      </c>
      <c r="C156" s="11">
        <v>2</v>
      </c>
      <c r="D156" s="11">
        <v>3</v>
      </c>
      <c r="E156" s="11">
        <v>10</v>
      </c>
    </row>
    <row r="157" spans="1:5" x14ac:dyDescent="0.3">
      <c r="A157" s="11" t="s">
        <v>515</v>
      </c>
      <c r="B157" s="11">
        <v>2026</v>
      </c>
      <c r="C157" s="11">
        <v>3</v>
      </c>
      <c r="D157" s="11">
        <v>59</v>
      </c>
      <c r="E157" s="11">
        <v>1</v>
      </c>
    </row>
    <row r="158" spans="1:5" x14ac:dyDescent="0.3">
      <c r="A158" s="11" t="s">
        <v>518</v>
      </c>
      <c r="B158" s="11">
        <v>2026</v>
      </c>
      <c r="C158" s="11">
        <v>5</v>
      </c>
      <c r="D158" s="11">
        <v>29</v>
      </c>
      <c r="E158" s="11">
        <v>11</v>
      </c>
    </row>
    <row r="159" spans="1:5" x14ac:dyDescent="0.3">
      <c r="A159" s="11" t="s">
        <v>521</v>
      </c>
      <c r="B159" s="11">
        <v>2026</v>
      </c>
      <c r="C159" s="11">
        <v>3</v>
      </c>
      <c r="D159" s="11">
        <v>8</v>
      </c>
      <c r="E159" s="11">
        <v>11</v>
      </c>
    </row>
    <row r="160" spans="1:5" x14ac:dyDescent="0.3">
      <c r="A160" s="11" t="s">
        <v>524</v>
      </c>
      <c r="B160" s="11">
        <v>2026</v>
      </c>
      <c r="C160" s="11">
        <v>5</v>
      </c>
      <c r="D160" s="11">
        <v>42</v>
      </c>
      <c r="E160" s="11">
        <v>4</v>
      </c>
    </row>
    <row r="161" spans="1:5" x14ac:dyDescent="0.3">
      <c r="A161" s="11" t="s">
        <v>527</v>
      </c>
      <c r="B161" s="11">
        <v>2026</v>
      </c>
      <c r="C161" s="11">
        <v>4</v>
      </c>
      <c r="D161" s="11">
        <v>57</v>
      </c>
      <c r="E161" s="11">
        <v>4</v>
      </c>
    </row>
    <row r="162" spans="1:5" x14ac:dyDescent="0.3">
      <c r="A162" s="11" t="s">
        <v>530</v>
      </c>
      <c r="B162" s="11">
        <v>2026</v>
      </c>
      <c r="C162" s="11">
        <v>3</v>
      </c>
      <c r="D162" s="11">
        <v>4</v>
      </c>
      <c r="E162" s="11">
        <v>7</v>
      </c>
    </row>
    <row r="163" spans="1:5" x14ac:dyDescent="0.3">
      <c r="A163" s="11" t="s">
        <v>533</v>
      </c>
      <c r="B163" s="11">
        <v>2026</v>
      </c>
      <c r="C163" s="11">
        <v>4</v>
      </c>
      <c r="D163" s="11">
        <v>14</v>
      </c>
      <c r="E163" s="11">
        <v>9</v>
      </c>
    </row>
    <row r="164" spans="1:5" x14ac:dyDescent="0.3">
      <c r="A164" s="11" t="s">
        <v>535</v>
      </c>
      <c r="B164" s="11">
        <v>2026</v>
      </c>
      <c r="C164" s="11">
        <v>4</v>
      </c>
      <c r="D164" s="11">
        <v>20</v>
      </c>
      <c r="E164" s="11">
        <v>7</v>
      </c>
    </row>
    <row r="165" spans="1:5" x14ac:dyDescent="0.3">
      <c r="A165" s="11" t="s">
        <v>538</v>
      </c>
      <c r="B165" s="11">
        <v>2026</v>
      </c>
      <c r="C165" s="11">
        <v>3</v>
      </c>
      <c r="D165" s="11">
        <v>20</v>
      </c>
      <c r="E165" s="11">
        <v>1</v>
      </c>
    </row>
    <row r="166" spans="1:5" x14ac:dyDescent="0.3">
      <c r="A166" s="11" t="s">
        <v>541</v>
      </c>
      <c r="B166" s="11">
        <v>2026</v>
      </c>
      <c r="C166" s="11">
        <v>5</v>
      </c>
      <c r="D166" s="11">
        <v>16</v>
      </c>
      <c r="E166" s="11">
        <v>1</v>
      </c>
    </row>
    <row r="167" spans="1:5" x14ac:dyDescent="0.3">
      <c r="A167" s="11" t="s">
        <v>544</v>
      </c>
      <c r="B167" s="11">
        <v>2026</v>
      </c>
      <c r="C167" s="11">
        <v>2</v>
      </c>
      <c r="D167" s="11">
        <v>18</v>
      </c>
      <c r="E167" s="11">
        <v>6</v>
      </c>
    </row>
    <row r="168" spans="1:5" x14ac:dyDescent="0.3">
      <c r="A168" s="11" t="s">
        <v>547</v>
      </c>
      <c r="B168" s="11">
        <v>2026</v>
      </c>
      <c r="C168" s="11">
        <v>1</v>
      </c>
      <c r="D168" s="11">
        <v>60</v>
      </c>
      <c r="E168" s="11">
        <v>3</v>
      </c>
    </row>
    <row r="169" spans="1:5" x14ac:dyDescent="0.3">
      <c r="A169" s="11" t="s">
        <v>550</v>
      </c>
      <c r="B169" s="11">
        <v>2026</v>
      </c>
      <c r="C169" s="11">
        <v>2</v>
      </c>
      <c r="D169" s="11">
        <v>21</v>
      </c>
      <c r="E169" s="11">
        <v>2</v>
      </c>
    </row>
    <row r="170" spans="1:5" x14ac:dyDescent="0.3">
      <c r="A170" s="11" t="s">
        <v>553</v>
      </c>
      <c r="B170" s="11">
        <v>2026</v>
      </c>
      <c r="C170" s="11">
        <v>2</v>
      </c>
      <c r="D170" s="11">
        <v>21</v>
      </c>
      <c r="E170" s="11">
        <v>1</v>
      </c>
    </row>
    <row r="171" spans="1:5" x14ac:dyDescent="0.3">
      <c r="A171" s="11" t="s">
        <v>556</v>
      </c>
      <c r="B171" s="11">
        <v>2026</v>
      </c>
      <c r="C171" s="11">
        <v>1</v>
      </c>
      <c r="D171" s="11">
        <v>16</v>
      </c>
      <c r="E171" s="11">
        <v>10</v>
      </c>
    </row>
    <row r="172" spans="1:5" x14ac:dyDescent="0.3">
      <c r="A172" s="11" t="s">
        <v>559</v>
      </c>
      <c r="B172" s="11">
        <v>2026</v>
      </c>
      <c r="C172" s="11">
        <v>5</v>
      </c>
      <c r="D172" s="11">
        <v>43</v>
      </c>
      <c r="E172" s="11">
        <v>4</v>
      </c>
    </row>
    <row r="173" spans="1:5" x14ac:dyDescent="0.3">
      <c r="A173" s="11" t="s">
        <v>562</v>
      </c>
      <c r="B173" s="11">
        <v>2026</v>
      </c>
      <c r="C173" s="11">
        <v>5</v>
      </c>
      <c r="D173" s="11">
        <v>10</v>
      </c>
      <c r="E173" s="11">
        <v>11</v>
      </c>
    </row>
    <row r="174" spans="1:5" x14ac:dyDescent="0.3">
      <c r="A174" s="11" t="s">
        <v>565</v>
      </c>
      <c r="B174" s="11">
        <v>2026</v>
      </c>
      <c r="C174" s="11">
        <v>3</v>
      </c>
      <c r="D174" s="11">
        <v>52</v>
      </c>
      <c r="E174" s="11">
        <v>0</v>
      </c>
    </row>
    <row r="175" spans="1:5" x14ac:dyDescent="0.3">
      <c r="A175" s="11" t="s">
        <v>568</v>
      </c>
      <c r="B175" s="11">
        <v>2026</v>
      </c>
      <c r="C175" s="11">
        <v>1</v>
      </c>
      <c r="D175" s="11">
        <v>36</v>
      </c>
      <c r="E175" s="11">
        <v>11</v>
      </c>
    </row>
    <row r="176" spans="1:5" x14ac:dyDescent="0.3">
      <c r="A176" s="11" t="s">
        <v>571</v>
      </c>
      <c r="B176" s="11">
        <v>2026</v>
      </c>
      <c r="C176" s="11">
        <v>1</v>
      </c>
      <c r="D176" s="11">
        <v>45</v>
      </c>
      <c r="E176" s="11">
        <v>9</v>
      </c>
    </row>
    <row r="177" spans="1:5" x14ac:dyDescent="0.3">
      <c r="A177" s="11" t="s">
        <v>574</v>
      </c>
      <c r="B177" s="11">
        <v>2026</v>
      </c>
      <c r="C177" s="11">
        <v>5</v>
      </c>
      <c r="D177" s="11">
        <v>22</v>
      </c>
      <c r="E177" s="11">
        <v>0</v>
      </c>
    </row>
    <row r="178" spans="1:5" x14ac:dyDescent="0.3">
      <c r="A178" s="11" t="s">
        <v>577</v>
      </c>
      <c r="B178" s="11">
        <v>2026</v>
      </c>
      <c r="C178" s="11">
        <v>4</v>
      </c>
      <c r="D178" s="11">
        <v>49</v>
      </c>
      <c r="E178" s="11">
        <v>7</v>
      </c>
    </row>
    <row r="179" spans="1:5" x14ac:dyDescent="0.3">
      <c r="A179" s="11" t="s">
        <v>580</v>
      </c>
      <c r="B179" s="11">
        <v>2026</v>
      </c>
      <c r="C179" s="11">
        <v>3</v>
      </c>
      <c r="D179" s="11">
        <v>9</v>
      </c>
      <c r="E179" s="11">
        <v>2</v>
      </c>
    </row>
    <row r="180" spans="1:5" x14ac:dyDescent="0.3">
      <c r="A180" s="11" t="s">
        <v>583</v>
      </c>
      <c r="B180" s="11">
        <v>2026</v>
      </c>
      <c r="C180" s="11">
        <v>4</v>
      </c>
      <c r="D180" s="11">
        <v>39</v>
      </c>
      <c r="E180" s="11">
        <v>6</v>
      </c>
    </row>
    <row r="181" spans="1:5" x14ac:dyDescent="0.3">
      <c r="A181" s="11" t="s">
        <v>586</v>
      </c>
      <c r="B181" s="11">
        <v>2026</v>
      </c>
      <c r="C181" s="11">
        <v>2</v>
      </c>
      <c r="D181" s="11">
        <v>35</v>
      </c>
      <c r="E181" s="11">
        <v>9</v>
      </c>
    </row>
    <row r="182" spans="1:5" x14ac:dyDescent="0.3">
      <c r="A182" s="11" t="s">
        <v>589</v>
      </c>
      <c r="B182" s="11">
        <v>2026</v>
      </c>
      <c r="C182" s="11">
        <v>2</v>
      </c>
      <c r="D182" s="11">
        <v>24</v>
      </c>
      <c r="E182" s="11">
        <v>9</v>
      </c>
    </row>
    <row r="183" spans="1:5" x14ac:dyDescent="0.3">
      <c r="A183" s="11" t="s">
        <v>592</v>
      </c>
      <c r="B183" s="11">
        <v>2026</v>
      </c>
      <c r="C183" s="11">
        <v>4</v>
      </c>
      <c r="D183" s="11">
        <v>45</v>
      </c>
      <c r="E183" s="11">
        <v>9</v>
      </c>
    </row>
    <row r="184" spans="1:5" x14ac:dyDescent="0.3">
      <c r="A184" s="11" t="s">
        <v>595</v>
      </c>
      <c r="B184" s="11">
        <v>2026</v>
      </c>
      <c r="C184" s="11">
        <v>4</v>
      </c>
      <c r="D184" s="11">
        <v>40</v>
      </c>
      <c r="E184" s="11">
        <v>7</v>
      </c>
    </row>
    <row r="185" spans="1:5" x14ac:dyDescent="0.3">
      <c r="A185" s="11" t="s">
        <v>598</v>
      </c>
      <c r="B185" s="11">
        <v>2026</v>
      </c>
      <c r="C185" s="11">
        <v>1</v>
      </c>
      <c r="D185" s="11">
        <v>11</v>
      </c>
      <c r="E185" s="11">
        <v>9</v>
      </c>
    </row>
    <row r="186" spans="1:5" x14ac:dyDescent="0.3">
      <c r="A186" s="11" t="s">
        <v>601</v>
      </c>
      <c r="B186" s="11">
        <v>2026</v>
      </c>
      <c r="C186" s="11">
        <v>4</v>
      </c>
      <c r="D186" s="11">
        <v>19</v>
      </c>
      <c r="E186" s="11">
        <v>9</v>
      </c>
    </row>
    <row r="187" spans="1:5" x14ac:dyDescent="0.3">
      <c r="A187" s="11" t="s">
        <v>603</v>
      </c>
      <c r="B187" s="11">
        <v>2026</v>
      </c>
      <c r="C187" s="11">
        <v>2</v>
      </c>
      <c r="D187" s="11">
        <v>36</v>
      </c>
      <c r="E187" s="11">
        <v>0</v>
      </c>
    </row>
    <row r="188" spans="1:5" x14ac:dyDescent="0.3">
      <c r="A188" s="11" t="s">
        <v>606</v>
      </c>
      <c r="B188" s="11">
        <v>2026</v>
      </c>
      <c r="C188" s="11">
        <v>3</v>
      </c>
      <c r="D188" s="11">
        <v>39</v>
      </c>
      <c r="E188" s="11">
        <v>8</v>
      </c>
    </row>
    <row r="189" spans="1:5" x14ac:dyDescent="0.3">
      <c r="A189" s="11" t="s">
        <v>608</v>
      </c>
      <c r="B189" s="11">
        <v>2026</v>
      </c>
      <c r="C189" s="11">
        <v>3</v>
      </c>
      <c r="D189" s="11">
        <v>54</v>
      </c>
      <c r="E189" s="11">
        <v>11</v>
      </c>
    </row>
    <row r="190" spans="1:5" x14ac:dyDescent="0.3">
      <c r="A190" s="11" t="s">
        <v>611</v>
      </c>
      <c r="B190" s="11">
        <v>2026</v>
      </c>
      <c r="C190" s="11">
        <v>5</v>
      </c>
      <c r="D190" s="11">
        <v>47</v>
      </c>
      <c r="E190" s="11">
        <v>5</v>
      </c>
    </row>
    <row r="191" spans="1:5" x14ac:dyDescent="0.3">
      <c r="A191" s="11" t="s">
        <v>614</v>
      </c>
      <c r="B191" s="11">
        <v>2026</v>
      </c>
      <c r="C191" s="11">
        <v>5</v>
      </c>
      <c r="D191" s="11">
        <v>43</v>
      </c>
      <c r="E191" s="11">
        <v>5</v>
      </c>
    </row>
    <row r="192" spans="1:5" x14ac:dyDescent="0.3">
      <c r="A192" s="11" t="s">
        <v>617</v>
      </c>
      <c r="B192" s="11">
        <v>2026</v>
      </c>
      <c r="C192" s="11">
        <v>2</v>
      </c>
      <c r="D192" s="11">
        <v>31</v>
      </c>
      <c r="E192" s="11">
        <v>3</v>
      </c>
    </row>
    <row r="193" spans="1:5" x14ac:dyDescent="0.3">
      <c r="A193" s="11" t="s">
        <v>620</v>
      </c>
      <c r="B193" s="11">
        <v>2026</v>
      </c>
      <c r="C193" s="11">
        <v>3</v>
      </c>
      <c r="D193" s="11">
        <v>16</v>
      </c>
      <c r="E193" s="11">
        <v>11</v>
      </c>
    </row>
    <row r="194" spans="1:5" x14ac:dyDescent="0.3">
      <c r="A194" s="11" t="s">
        <v>623</v>
      </c>
      <c r="B194" s="11">
        <v>2026</v>
      </c>
      <c r="C194" s="11">
        <v>3</v>
      </c>
      <c r="D194" s="11">
        <v>9</v>
      </c>
      <c r="E194" s="11">
        <v>12</v>
      </c>
    </row>
    <row r="195" spans="1:5" x14ac:dyDescent="0.3">
      <c r="A195" s="11" t="s">
        <v>626</v>
      </c>
      <c r="B195" s="11">
        <v>2026</v>
      </c>
      <c r="C195" s="11">
        <v>3</v>
      </c>
      <c r="D195" s="11">
        <v>32</v>
      </c>
      <c r="E195" s="11">
        <v>9</v>
      </c>
    </row>
    <row r="196" spans="1:5" x14ac:dyDescent="0.3">
      <c r="A196" s="11" t="s">
        <v>629</v>
      </c>
      <c r="B196" s="11">
        <v>2026</v>
      </c>
      <c r="C196" s="11">
        <v>2</v>
      </c>
      <c r="D196" s="11">
        <v>51</v>
      </c>
      <c r="E196" s="11">
        <v>7</v>
      </c>
    </row>
    <row r="197" spans="1:5" x14ac:dyDescent="0.3">
      <c r="A197" s="11" t="s">
        <v>632</v>
      </c>
      <c r="B197" s="11">
        <v>2026</v>
      </c>
      <c r="C197" s="11">
        <v>3</v>
      </c>
      <c r="D197" s="11">
        <v>2</v>
      </c>
      <c r="E197" s="11">
        <v>4</v>
      </c>
    </row>
    <row r="198" spans="1:5" x14ac:dyDescent="0.3">
      <c r="A198" s="11" t="s">
        <v>635</v>
      </c>
      <c r="B198" s="11">
        <v>2026</v>
      </c>
      <c r="C198" s="11">
        <v>2</v>
      </c>
      <c r="D198" s="11">
        <v>42</v>
      </c>
      <c r="E198" s="11">
        <v>6</v>
      </c>
    </row>
    <row r="199" spans="1:5" x14ac:dyDescent="0.3">
      <c r="A199" s="11" t="s">
        <v>638</v>
      </c>
      <c r="B199" s="11">
        <v>2026</v>
      </c>
      <c r="C199" s="11">
        <v>2</v>
      </c>
      <c r="D199" s="11">
        <v>2</v>
      </c>
      <c r="E199" s="11">
        <v>9</v>
      </c>
    </row>
    <row r="200" spans="1:5" x14ac:dyDescent="0.3">
      <c r="A200" s="11" t="s">
        <v>640</v>
      </c>
      <c r="B200" s="11">
        <v>2026</v>
      </c>
      <c r="C200" s="11">
        <v>5</v>
      </c>
      <c r="D200" s="11">
        <v>44</v>
      </c>
      <c r="E200" s="11">
        <v>11</v>
      </c>
    </row>
    <row r="201" spans="1:5" x14ac:dyDescent="0.3">
      <c r="A201" s="11" t="s">
        <v>643</v>
      </c>
      <c r="B201" s="11">
        <v>2026</v>
      </c>
      <c r="C201" s="11">
        <v>1</v>
      </c>
      <c r="D201" s="11">
        <v>43</v>
      </c>
      <c r="E201" s="11">
        <v>9</v>
      </c>
    </row>
    <row r="202" spans="1:5" x14ac:dyDescent="0.3">
      <c r="A202" s="11" t="s">
        <v>646</v>
      </c>
      <c r="B202" s="11">
        <v>2026</v>
      </c>
      <c r="C202" s="11">
        <v>3</v>
      </c>
      <c r="D202" s="11">
        <v>28</v>
      </c>
      <c r="E202" s="11">
        <v>12</v>
      </c>
    </row>
    <row r="203" spans="1:5" x14ac:dyDescent="0.3">
      <c r="A203" s="11" t="s">
        <v>649</v>
      </c>
      <c r="B203" s="11">
        <v>2026</v>
      </c>
      <c r="C203" s="11">
        <v>2</v>
      </c>
      <c r="D203" s="11">
        <v>45</v>
      </c>
      <c r="E203" s="11">
        <v>3</v>
      </c>
    </row>
    <row r="204" spans="1:5" x14ac:dyDescent="0.3">
      <c r="A204" s="11" t="s">
        <v>652</v>
      </c>
      <c r="B204" s="11">
        <v>2026</v>
      </c>
      <c r="C204" s="11">
        <v>2</v>
      </c>
      <c r="D204" s="11">
        <v>15</v>
      </c>
      <c r="E204" s="11">
        <v>10</v>
      </c>
    </row>
    <row r="205" spans="1:5" x14ac:dyDescent="0.3">
      <c r="A205" s="11" t="s">
        <v>655</v>
      </c>
      <c r="B205" s="11">
        <v>2026</v>
      </c>
      <c r="C205" s="11">
        <v>4</v>
      </c>
      <c r="D205" s="11">
        <v>50</v>
      </c>
      <c r="E205" s="11">
        <v>12</v>
      </c>
    </row>
    <row r="206" spans="1:5" x14ac:dyDescent="0.3">
      <c r="A206" s="11" t="s">
        <v>658</v>
      </c>
      <c r="B206" s="11">
        <v>2026</v>
      </c>
      <c r="C206" s="11">
        <v>4</v>
      </c>
      <c r="D206" s="11">
        <v>32</v>
      </c>
      <c r="E206" s="11">
        <v>8</v>
      </c>
    </row>
    <row r="207" spans="1:5" x14ac:dyDescent="0.3">
      <c r="A207" s="11" t="s">
        <v>661</v>
      </c>
      <c r="B207" s="11">
        <v>2026</v>
      </c>
      <c r="C207" s="11">
        <v>1</v>
      </c>
      <c r="D207" s="11">
        <v>34</v>
      </c>
      <c r="E207" s="11">
        <v>5</v>
      </c>
    </row>
    <row r="208" spans="1:5" x14ac:dyDescent="0.3">
      <c r="A208" s="11" t="s">
        <v>663</v>
      </c>
      <c r="B208" s="11">
        <v>2026</v>
      </c>
      <c r="C208" s="11">
        <v>3</v>
      </c>
      <c r="D208" s="11">
        <v>45</v>
      </c>
      <c r="E208" s="11">
        <v>11</v>
      </c>
    </row>
    <row r="209" spans="1:5" x14ac:dyDescent="0.3">
      <c r="A209" s="11" t="s">
        <v>666</v>
      </c>
      <c r="B209" s="11">
        <v>2026</v>
      </c>
      <c r="C209" s="11">
        <v>3</v>
      </c>
      <c r="D209" s="11">
        <v>52</v>
      </c>
      <c r="E209" s="11">
        <v>9</v>
      </c>
    </row>
    <row r="210" spans="1:5" x14ac:dyDescent="0.3">
      <c r="A210" s="11" t="s">
        <v>669</v>
      </c>
      <c r="B210" s="11">
        <v>2026</v>
      </c>
      <c r="C210" s="11">
        <v>2</v>
      </c>
      <c r="D210" s="11">
        <v>56</v>
      </c>
      <c r="E210" s="11">
        <v>5</v>
      </c>
    </row>
    <row r="211" spans="1:5" x14ac:dyDescent="0.3">
      <c r="A211" s="11" t="s">
        <v>671</v>
      </c>
      <c r="B211" s="11">
        <v>2026</v>
      </c>
      <c r="C211" s="11">
        <v>5</v>
      </c>
      <c r="D211" s="11">
        <v>57</v>
      </c>
      <c r="E211" s="11">
        <v>5</v>
      </c>
    </row>
    <row r="212" spans="1:5" x14ac:dyDescent="0.3">
      <c r="A212" s="11" t="s">
        <v>674</v>
      </c>
      <c r="B212" s="11">
        <v>2026</v>
      </c>
      <c r="C212" s="11">
        <v>1</v>
      </c>
      <c r="D212" s="11">
        <v>44</v>
      </c>
      <c r="E212" s="11">
        <v>12</v>
      </c>
    </row>
    <row r="213" spans="1:5" x14ac:dyDescent="0.3">
      <c r="A213" s="11" t="s">
        <v>677</v>
      </c>
      <c r="B213" s="11">
        <v>2026</v>
      </c>
      <c r="C213" s="11">
        <v>4</v>
      </c>
      <c r="D213" s="11">
        <v>0</v>
      </c>
      <c r="E213" s="11">
        <v>5</v>
      </c>
    </row>
    <row r="214" spans="1:5" x14ac:dyDescent="0.3">
      <c r="A214" s="11" t="s">
        <v>680</v>
      </c>
      <c r="B214" s="11">
        <v>2026</v>
      </c>
      <c r="C214" s="11">
        <v>3</v>
      </c>
      <c r="D214" s="11">
        <v>2</v>
      </c>
      <c r="E214" s="11">
        <v>10</v>
      </c>
    </row>
    <row r="215" spans="1:5" x14ac:dyDescent="0.3">
      <c r="A215" s="11" t="s">
        <v>683</v>
      </c>
      <c r="B215" s="11">
        <v>2026</v>
      </c>
      <c r="C215" s="11">
        <v>3</v>
      </c>
      <c r="D215" s="11">
        <v>32</v>
      </c>
      <c r="E215" s="11">
        <v>4</v>
      </c>
    </row>
    <row r="216" spans="1:5" x14ac:dyDescent="0.3">
      <c r="A216" s="11" t="s">
        <v>686</v>
      </c>
      <c r="B216" s="11">
        <v>2026</v>
      </c>
      <c r="C216" s="11">
        <v>5</v>
      </c>
      <c r="D216" s="11">
        <v>45</v>
      </c>
      <c r="E216" s="11">
        <v>8</v>
      </c>
    </row>
    <row r="217" spans="1:5" x14ac:dyDescent="0.3">
      <c r="A217" s="11" t="s">
        <v>689</v>
      </c>
      <c r="B217" s="11">
        <v>2026</v>
      </c>
      <c r="C217" s="11">
        <v>3</v>
      </c>
      <c r="D217" s="11">
        <v>32</v>
      </c>
      <c r="E217" s="11">
        <v>9</v>
      </c>
    </row>
    <row r="218" spans="1:5" x14ac:dyDescent="0.3">
      <c r="A218" s="11" t="s">
        <v>692</v>
      </c>
      <c r="B218" s="11">
        <v>2026</v>
      </c>
      <c r="C218" s="11">
        <v>1</v>
      </c>
      <c r="D218" s="11">
        <v>47</v>
      </c>
      <c r="E218" s="11">
        <v>9</v>
      </c>
    </row>
    <row r="219" spans="1:5" x14ac:dyDescent="0.3">
      <c r="A219" s="11" t="s">
        <v>694</v>
      </c>
      <c r="B219" s="11">
        <v>2026</v>
      </c>
      <c r="C219" s="11">
        <v>3</v>
      </c>
      <c r="D219" s="11">
        <v>30</v>
      </c>
      <c r="E219" s="11">
        <v>9</v>
      </c>
    </row>
    <row r="220" spans="1:5" x14ac:dyDescent="0.3">
      <c r="A220" s="11" t="s">
        <v>697</v>
      </c>
      <c r="B220" s="11">
        <v>2026</v>
      </c>
      <c r="C220" s="11">
        <v>5</v>
      </c>
      <c r="D220" s="11">
        <v>48</v>
      </c>
      <c r="E220" s="11">
        <v>11</v>
      </c>
    </row>
    <row r="221" spans="1:5" x14ac:dyDescent="0.3">
      <c r="A221" s="11" t="s">
        <v>700</v>
      </c>
      <c r="B221" s="11">
        <v>2026</v>
      </c>
      <c r="C221" s="11">
        <v>2</v>
      </c>
      <c r="D221" s="11">
        <v>46</v>
      </c>
      <c r="E221" s="11">
        <v>7</v>
      </c>
    </row>
    <row r="222" spans="1:5" x14ac:dyDescent="0.3">
      <c r="A222" s="11" t="s">
        <v>702</v>
      </c>
      <c r="B222" s="11">
        <v>2026</v>
      </c>
      <c r="C222" s="11">
        <v>5</v>
      </c>
      <c r="D222" s="11">
        <v>59</v>
      </c>
      <c r="E222" s="11">
        <v>3</v>
      </c>
    </row>
    <row r="223" spans="1:5" x14ac:dyDescent="0.3">
      <c r="A223" s="11" t="s">
        <v>704</v>
      </c>
      <c r="B223" s="11">
        <v>2026</v>
      </c>
      <c r="C223" s="11">
        <v>5</v>
      </c>
      <c r="D223" s="11">
        <v>0</v>
      </c>
      <c r="E223" s="11">
        <v>3</v>
      </c>
    </row>
    <row r="224" spans="1:5" x14ac:dyDescent="0.3">
      <c r="A224" s="11" t="s">
        <v>707</v>
      </c>
      <c r="B224" s="11">
        <v>2026</v>
      </c>
      <c r="C224" s="11">
        <v>5</v>
      </c>
      <c r="D224" s="11">
        <v>40</v>
      </c>
      <c r="E224" s="11">
        <v>2</v>
      </c>
    </row>
    <row r="225" spans="1:5" x14ac:dyDescent="0.3">
      <c r="A225" s="11" t="s">
        <v>710</v>
      </c>
      <c r="B225" s="11">
        <v>2026</v>
      </c>
      <c r="C225" s="11">
        <v>1</v>
      </c>
      <c r="D225" s="11">
        <v>54</v>
      </c>
      <c r="E225" s="11">
        <v>6</v>
      </c>
    </row>
    <row r="226" spans="1:5" x14ac:dyDescent="0.3">
      <c r="A226" s="11" t="s">
        <v>713</v>
      </c>
      <c r="B226" s="11">
        <v>2026</v>
      </c>
      <c r="C226" s="11">
        <v>5</v>
      </c>
      <c r="D226" s="11">
        <v>51</v>
      </c>
      <c r="E226" s="11">
        <v>3</v>
      </c>
    </row>
    <row r="227" spans="1:5" x14ac:dyDescent="0.3">
      <c r="A227" s="11" t="s">
        <v>716</v>
      </c>
      <c r="B227" s="11">
        <v>2026</v>
      </c>
      <c r="C227" s="11">
        <v>2</v>
      </c>
      <c r="D227" s="11">
        <v>60</v>
      </c>
      <c r="E227" s="11">
        <v>2</v>
      </c>
    </row>
    <row r="228" spans="1:5" x14ac:dyDescent="0.3">
      <c r="A228" s="11" t="s">
        <v>719</v>
      </c>
      <c r="B228" s="11">
        <v>2026</v>
      </c>
      <c r="C228" s="11">
        <v>4</v>
      </c>
      <c r="D228" s="11">
        <v>8</v>
      </c>
      <c r="E228" s="11">
        <v>0</v>
      </c>
    </row>
    <row r="229" spans="1:5" x14ac:dyDescent="0.3">
      <c r="A229" s="11" t="s">
        <v>722</v>
      </c>
      <c r="B229" s="11">
        <v>2026</v>
      </c>
      <c r="C229" s="11">
        <v>5</v>
      </c>
      <c r="D229" s="11">
        <v>32</v>
      </c>
      <c r="E229" s="11">
        <v>0</v>
      </c>
    </row>
    <row r="230" spans="1:5" x14ac:dyDescent="0.3">
      <c r="A230" s="11" t="s">
        <v>725</v>
      </c>
      <c r="B230" s="11">
        <v>2026</v>
      </c>
      <c r="C230" s="11">
        <v>4</v>
      </c>
      <c r="D230" s="11">
        <v>1</v>
      </c>
      <c r="E230" s="11">
        <v>2</v>
      </c>
    </row>
    <row r="231" spans="1:5" x14ac:dyDescent="0.3">
      <c r="A231" s="11" t="s">
        <v>728</v>
      </c>
      <c r="B231" s="11">
        <v>2026</v>
      </c>
      <c r="C231" s="11">
        <v>5</v>
      </c>
      <c r="D231" s="11">
        <v>46</v>
      </c>
      <c r="E231" s="11">
        <v>8</v>
      </c>
    </row>
    <row r="232" spans="1:5" x14ac:dyDescent="0.3">
      <c r="A232" s="11" t="s">
        <v>731</v>
      </c>
      <c r="B232" s="11">
        <v>2026</v>
      </c>
      <c r="C232" s="11">
        <v>2</v>
      </c>
      <c r="D232" s="11">
        <v>60</v>
      </c>
      <c r="E232" s="11">
        <v>3</v>
      </c>
    </row>
    <row r="233" spans="1:5" x14ac:dyDescent="0.3">
      <c r="A233" s="11" t="s">
        <v>734</v>
      </c>
      <c r="B233" s="11">
        <v>2026</v>
      </c>
      <c r="C233" s="11">
        <v>2</v>
      </c>
      <c r="D233" s="11">
        <v>28</v>
      </c>
      <c r="E233" s="11">
        <v>0</v>
      </c>
    </row>
    <row r="234" spans="1:5" x14ac:dyDescent="0.3">
      <c r="A234" s="11" t="s">
        <v>737</v>
      </c>
      <c r="B234" s="11">
        <v>2026</v>
      </c>
      <c r="C234" s="11">
        <v>2</v>
      </c>
      <c r="D234" s="11">
        <v>18</v>
      </c>
      <c r="E234" s="11">
        <v>9</v>
      </c>
    </row>
    <row r="235" spans="1:5" x14ac:dyDescent="0.3">
      <c r="A235" s="11" t="s">
        <v>740</v>
      </c>
      <c r="B235" s="11">
        <v>2026</v>
      </c>
      <c r="C235" s="11">
        <v>4</v>
      </c>
      <c r="D235" s="11">
        <v>11</v>
      </c>
      <c r="E235" s="11">
        <v>10</v>
      </c>
    </row>
    <row r="236" spans="1:5" x14ac:dyDescent="0.3">
      <c r="A236" s="11" t="s">
        <v>743</v>
      </c>
      <c r="B236" s="11">
        <v>2026</v>
      </c>
      <c r="C236" s="11">
        <v>5</v>
      </c>
      <c r="D236" s="11">
        <v>55</v>
      </c>
      <c r="E236" s="11">
        <v>0</v>
      </c>
    </row>
    <row r="237" spans="1:5" x14ac:dyDescent="0.3">
      <c r="A237" s="11" t="s">
        <v>746</v>
      </c>
      <c r="B237" s="11">
        <v>2026</v>
      </c>
      <c r="C237" s="11">
        <v>4</v>
      </c>
      <c r="D237" s="11">
        <v>26</v>
      </c>
      <c r="E237" s="11">
        <v>11</v>
      </c>
    </row>
    <row r="238" spans="1:5" x14ac:dyDescent="0.3">
      <c r="A238" s="11" t="s">
        <v>749</v>
      </c>
      <c r="B238" s="11">
        <v>2026</v>
      </c>
      <c r="C238" s="11">
        <v>4</v>
      </c>
      <c r="D238" s="11">
        <v>9</v>
      </c>
      <c r="E238" s="11">
        <v>2</v>
      </c>
    </row>
    <row r="239" spans="1:5" x14ac:dyDescent="0.3">
      <c r="A239" s="11" t="s">
        <v>752</v>
      </c>
      <c r="B239" s="11">
        <v>2026</v>
      </c>
      <c r="C239" s="11">
        <v>4</v>
      </c>
      <c r="D239" s="11">
        <v>53</v>
      </c>
      <c r="E239" s="11">
        <v>12</v>
      </c>
    </row>
    <row r="240" spans="1:5" x14ac:dyDescent="0.3">
      <c r="A240" s="11" t="s">
        <v>755</v>
      </c>
      <c r="B240" s="11">
        <v>2026</v>
      </c>
      <c r="C240" s="11">
        <v>2</v>
      </c>
      <c r="D240" s="11">
        <v>10</v>
      </c>
      <c r="E240" s="11">
        <v>4</v>
      </c>
    </row>
    <row r="241" spans="1:5" x14ac:dyDescent="0.3">
      <c r="A241" s="11" t="s">
        <v>758</v>
      </c>
      <c r="B241" s="11">
        <v>2026</v>
      </c>
      <c r="C241" s="11">
        <v>2</v>
      </c>
      <c r="D241" s="11">
        <v>9</v>
      </c>
      <c r="E241" s="11">
        <v>7</v>
      </c>
    </row>
    <row r="242" spans="1:5" x14ac:dyDescent="0.3">
      <c r="A242" s="11" t="s">
        <v>761</v>
      </c>
      <c r="B242" s="11">
        <v>2026</v>
      </c>
      <c r="C242" s="11">
        <v>2</v>
      </c>
      <c r="D242" s="11">
        <v>26</v>
      </c>
      <c r="E242" s="11">
        <v>1</v>
      </c>
    </row>
    <row r="243" spans="1:5" x14ac:dyDescent="0.3">
      <c r="A243" s="11" t="s">
        <v>764</v>
      </c>
      <c r="B243" s="11">
        <v>2026</v>
      </c>
      <c r="C243" s="11">
        <v>2</v>
      </c>
      <c r="D243" s="11">
        <v>6</v>
      </c>
      <c r="E243" s="11">
        <v>9</v>
      </c>
    </row>
    <row r="244" spans="1:5" x14ac:dyDescent="0.3">
      <c r="A244" s="11" t="s">
        <v>767</v>
      </c>
      <c r="B244" s="11">
        <v>2026</v>
      </c>
      <c r="C244" s="11">
        <v>1</v>
      </c>
      <c r="D244" s="11">
        <v>8</v>
      </c>
      <c r="E244" s="11">
        <v>3</v>
      </c>
    </row>
    <row r="245" spans="1:5" x14ac:dyDescent="0.3">
      <c r="A245" s="11" t="s">
        <v>770</v>
      </c>
      <c r="B245" s="11">
        <v>2026</v>
      </c>
      <c r="C245" s="11">
        <v>4</v>
      </c>
      <c r="D245" s="11">
        <v>50</v>
      </c>
      <c r="E245" s="11">
        <v>0</v>
      </c>
    </row>
    <row r="246" spans="1:5" x14ac:dyDescent="0.3">
      <c r="A246" s="11" t="s">
        <v>772</v>
      </c>
      <c r="B246" s="11">
        <v>2026</v>
      </c>
      <c r="C246" s="11">
        <v>1</v>
      </c>
      <c r="D246" s="11">
        <v>21</v>
      </c>
      <c r="E246" s="11">
        <v>3</v>
      </c>
    </row>
    <row r="247" spans="1:5" x14ac:dyDescent="0.3">
      <c r="A247" s="11" t="s">
        <v>774</v>
      </c>
      <c r="B247" s="11">
        <v>2026</v>
      </c>
      <c r="C247" s="11">
        <v>4</v>
      </c>
      <c r="D247" s="11">
        <v>13</v>
      </c>
      <c r="E247" s="11">
        <v>2</v>
      </c>
    </row>
    <row r="248" spans="1:5" x14ac:dyDescent="0.3">
      <c r="A248" s="11" t="s">
        <v>777</v>
      </c>
      <c r="B248" s="11">
        <v>2026</v>
      </c>
      <c r="C248" s="11">
        <v>3</v>
      </c>
      <c r="D248" s="11">
        <v>41</v>
      </c>
      <c r="E248" s="11">
        <v>12</v>
      </c>
    </row>
    <row r="249" spans="1:5" x14ac:dyDescent="0.3">
      <c r="A249" s="11" t="s">
        <v>780</v>
      </c>
      <c r="B249" s="11">
        <v>2026</v>
      </c>
      <c r="C249" s="11">
        <v>5</v>
      </c>
      <c r="D249" s="11">
        <v>58</v>
      </c>
      <c r="E249" s="11">
        <v>0</v>
      </c>
    </row>
    <row r="250" spans="1:5" x14ac:dyDescent="0.3">
      <c r="A250" s="11" t="s">
        <v>783</v>
      </c>
      <c r="B250" s="11">
        <v>2026</v>
      </c>
      <c r="C250" s="11">
        <v>5</v>
      </c>
      <c r="D250" s="11">
        <v>34</v>
      </c>
      <c r="E250" s="11">
        <v>6</v>
      </c>
    </row>
    <row r="251" spans="1:5" x14ac:dyDescent="0.3">
      <c r="A251" s="11" t="s">
        <v>785</v>
      </c>
      <c r="B251" s="11">
        <v>2026</v>
      </c>
      <c r="C251" s="11">
        <v>5</v>
      </c>
      <c r="D251" s="11">
        <v>11</v>
      </c>
      <c r="E251" s="11">
        <v>6</v>
      </c>
    </row>
    <row r="252" spans="1:5" x14ac:dyDescent="0.3">
      <c r="A252" s="11" t="s">
        <v>788</v>
      </c>
      <c r="B252" s="11">
        <v>2026</v>
      </c>
      <c r="C252" s="11">
        <v>4</v>
      </c>
      <c r="D252" s="11">
        <v>29</v>
      </c>
      <c r="E252" s="11">
        <v>3</v>
      </c>
    </row>
    <row r="253" spans="1:5" x14ac:dyDescent="0.3">
      <c r="A253" s="11" t="s">
        <v>791</v>
      </c>
      <c r="B253" s="11">
        <v>2026</v>
      </c>
      <c r="C253" s="11">
        <v>3</v>
      </c>
      <c r="D253" s="11">
        <v>20</v>
      </c>
      <c r="E253" s="11">
        <v>4</v>
      </c>
    </row>
    <row r="254" spans="1:5" x14ac:dyDescent="0.3">
      <c r="A254" s="11" t="s">
        <v>793</v>
      </c>
      <c r="B254" s="11">
        <v>2026</v>
      </c>
      <c r="C254" s="11">
        <v>1</v>
      </c>
      <c r="D254" s="11">
        <v>32</v>
      </c>
      <c r="E254" s="11">
        <v>5</v>
      </c>
    </row>
    <row r="255" spans="1:5" x14ac:dyDescent="0.3">
      <c r="A255" s="11" t="s">
        <v>796</v>
      </c>
      <c r="B255" s="11">
        <v>2026</v>
      </c>
      <c r="C255" s="11">
        <v>5</v>
      </c>
      <c r="D255" s="11">
        <v>2</v>
      </c>
      <c r="E255" s="11">
        <v>11</v>
      </c>
    </row>
    <row r="256" spans="1:5" x14ac:dyDescent="0.3">
      <c r="A256" s="11" t="s">
        <v>799</v>
      </c>
      <c r="B256" s="11">
        <v>2026</v>
      </c>
      <c r="C256" s="11">
        <v>1</v>
      </c>
      <c r="D256" s="11">
        <v>50</v>
      </c>
      <c r="E256" s="11">
        <v>7</v>
      </c>
    </row>
    <row r="257" spans="1:5" x14ac:dyDescent="0.3">
      <c r="A257" s="11" t="s">
        <v>802</v>
      </c>
      <c r="B257" s="11">
        <v>2026</v>
      </c>
      <c r="C257" s="11">
        <v>4</v>
      </c>
      <c r="D257" s="11">
        <v>43</v>
      </c>
      <c r="E257" s="11">
        <v>6</v>
      </c>
    </row>
    <row r="258" spans="1:5" x14ac:dyDescent="0.3">
      <c r="A258" s="11" t="s">
        <v>805</v>
      </c>
      <c r="B258" s="11">
        <v>2026</v>
      </c>
      <c r="C258" s="11">
        <v>3</v>
      </c>
      <c r="D258" s="11">
        <v>55</v>
      </c>
      <c r="E258" s="11">
        <v>5</v>
      </c>
    </row>
    <row r="259" spans="1:5" x14ac:dyDescent="0.3">
      <c r="A259" s="11" t="s">
        <v>808</v>
      </c>
      <c r="B259" s="11">
        <v>2026</v>
      </c>
      <c r="C259" s="11">
        <v>2</v>
      </c>
      <c r="D259" s="11">
        <v>56</v>
      </c>
      <c r="E259" s="11">
        <v>9</v>
      </c>
    </row>
    <row r="260" spans="1:5" x14ac:dyDescent="0.3">
      <c r="A260" s="11" t="s">
        <v>811</v>
      </c>
      <c r="B260" s="11">
        <v>2026</v>
      </c>
      <c r="C260" s="11">
        <v>1</v>
      </c>
      <c r="D260" s="11">
        <v>2</v>
      </c>
      <c r="E260" s="11">
        <v>4</v>
      </c>
    </row>
    <row r="261" spans="1:5" x14ac:dyDescent="0.3">
      <c r="A261" s="11" t="s">
        <v>814</v>
      </c>
      <c r="B261" s="11">
        <v>2026</v>
      </c>
      <c r="C261" s="11">
        <v>3</v>
      </c>
      <c r="D261" s="11">
        <v>12</v>
      </c>
      <c r="E261" s="11">
        <v>12</v>
      </c>
    </row>
    <row r="262" spans="1:5" x14ac:dyDescent="0.3">
      <c r="A262" s="11" t="s">
        <v>816</v>
      </c>
      <c r="B262" s="11">
        <v>2026</v>
      </c>
      <c r="C262" s="11">
        <v>4</v>
      </c>
      <c r="D262" s="11">
        <v>38</v>
      </c>
      <c r="E262" s="11">
        <v>3</v>
      </c>
    </row>
    <row r="263" spans="1:5" x14ac:dyDescent="0.3">
      <c r="A263" s="11" t="s">
        <v>819</v>
      </c>
      <c r="B263" s="11">
        <v>2026</v>
      </c>
      <c r="C263" s="11">
        <v>2</v>
      </c>
      <c r="D263" s="11">
        <v>29</v>
      </c>
      <c r="E263" s="11">
        <v>3</v>
      </c>
    </row>
    <row r="264" spans="1:5" x14ac:dyDescent="0.3">
      <c r="A264" s="11" t="s">
        <v>821</v>
      </c>
      <c r="B264" s="11">
        <v>2026</v>
      </c>
      <c r="C264" s="11">
        <v>5</v>
      </c>
      <c r="D264" s="11">
        <v>45</v>
      </c>
      <c r="E264" s="11">
        <v>3</v>
      </c>
    </row>
    <row r="265" spans="1:5" x14ac:dyDescent="0.3">
      <c r="A265" s="11" t="s">
        <v>824</v>
      </c>
      <c r="B265" s="11">
        <v>2026</v>
      </c>
      <c r="C265" s="11">
        <v>2</v>
      </c>
      <c r="D265" s="11">
        <v>57</v>
      </c>
      <c r="E265" s="11">
        <v>0</v>
      </c>
    </row>
    <row r="266" spans="1:5" x14ac:dyDescent="0.3">
      <c r="A266" s="11" t="s">
        <v>827</v>
      </c>
      <c r="B266" s="11">
        <v>2026</v>
      </c>
      <c r="C266" s="11">
        <v>2</v>
      </c>
      <c r="D266" s="11">
        <v>47</v>
      </c>
      <c r="E266" s="11">
        <v>6</v>
      </c>
    </row>
    <row r="267" spans="1:5" x14ac:dyDescent="0.3">
      <c r="A267" s="11" t="s">
        <v>830</v>
      </c>
      <c r="B267" s="11">
        <v>2026</v>
      </c>
      <c r="C267" s="11">
        <v>4</v>
      </c>
      <c r="D267" s="11">
        <v>52</v>
      </c>
      <c r="E267" s="11">
        <v>4</v>
      </c>
    </row>
    <row r="268" spans="1:5" x14ac:dyDescent="0.3">
      <c r="A268" s="11" t="s">
        <v>833</v>
      </c>
      <c r="B268" s="11">
        <v>2026</v>
      </c>
      <c r="C268" s="11">
        <v>4</v>
      </c>
      <c r="D268" s="11">
        <v>47</v>
      </c>
      <c r="E268" s="11">
        <v>0</v>
      </c>
    </row>
    <row r="269" spans="1:5" x14ac:dyDescent="0.3">
      <c r="A269" s="11" t="s">
        <v>836</v>
      </c>
      <c r="B269" s="11">
        <v>2026</v>
      </c>
      <c r="C269" s="11">
        <v>2</v>
      </c>
      <c r="D269" s="11">
        <v>23</v>
      </c>
      <c r="E269" s="11">
        <v>11</v>
      </c>
    </row>
    <row r="270" spans="1:5" x14ac:dyDescent="0.3">
      <c r="A270" s="11" t="s">
        <v>839</v>
      </c>
      <c r="B270" s="11">
        <v>2026</v>
      </c>
      <c r="C270" s="11">
        <v>1</v>
      </c>
      <c r="D270" s="11">
        <v>40</v>
      </c>
      <c r="E270" s="11">
        <v>6</v>
      </c>
    </row>
    <row r="271" spans="1:5" x14ac:dyDescent="0.3">
      <c r="A271" s="11" t="s">
        <v>842</v>
      </c>
      <c r="B271" s="11">
        <v>2026</v>
      </c>
      <c r="C271" s="11">
        <v>4</v>
      </c>
      <c r="D271" s="11">
        <v>19</v>
      </c>
      <c r="E271" s="11">
        <v>6</v>
      </c>
    </row>
    <row r="272" spans="1:5" x14ac:dyDescent="0.3">
      <c r="A272" s="11" t="s">
        <v>845</v>
      </c>
      <c r="B272" s="11">
        <v>2026</v>
      </c>
      <c r="C272" s="11">
        <v>5</v>
      </c>
      <c r="D272" s="11">
        <v>25</v>
      </c>
      <c r="E272" s="11">
        <v>6</v>
      </c>
    </row>
    <row r="273" spans="1:5" x14ac:dyDescent="0.3">
      <c r="A273" s="11" t="s">
        <v>848</v>
      </c>
      <c r="B273" s="11">
        <v>2026</v>
      </c>
      <c r="C273" s="11">
        <v>4</v>
      </c>
      <c r="D273" s="11">
        <v>5</v>
      </c>
      <c r="E273" s="11">
        <v>6</v>
      </c>
    </row>
    <row r="274" spans="1:5" x14ac:dyDescent="0.3">
      <c r="A274" s="11" t="s">
        <v>851</v>
      </c>
      <c r="B274" s="11">
        <v>2026</v>
      </c>
      <c r="C274" s="11">
        <v>2</v>
      </c>
      <c r="D274" s="11">
        <v>53</v>
      </c>
      <c r="E274" s="11">
        <v>11</v>
      </c>
    </row>
    <row r="275" spans="1:5" x14ac:dyDescent="0.3">
      <c r="A275" s="11" t="s">
        <v>854</v>
      </c>
      <c r="B275" s="11">
        <v>2026</v>
      </c>
      <c r="C275" s="11">
        <v>4</v>
      </c>
      <c r="D275" s="11">
        <v>6</v>
      </c>
      <c r="E275" s="11">
        <v>0</v>
      </c>
    </row>
    <row r="276" spans="1:5" x14ac:dyDescent="0.3">
      <c r="A276" s="11" t="s">
        <v>857</v>
      </c>
      <c r="B276" s="11">
        <v>2026</v>
      </c>
      <c r="C276" s="11">
        <v>4</v>
      </c>
      <c r="D276" s="11">
        <v>6</v>
      </c>
      <c r="E276" s="11">
        <v>4</v>
      </c>
    </row>
    <row r="277" spans="1:5" x14ac:dyDescent="0.3">
      <c r="A277" s="11" t="s">
        <v>860</v>
      </c>
      <c r="B277" s="11">
        <v>2026</v>
      </c>
      <c r="C277" s="11">
        <v>2</v>
      </c>
      <c r="D277" s="11">
        <v>8</v>
      </c>
      <c r="E277" s="11">
        <v>5</v>
      </c>
    </row>
    <row r="278" spans="1:5" x14ac:dyDescent="0.3">
      <c r="A278" s="11" t="s">
        <v>863</v>
      </c>
      <c r="B278" s="11">
        <v>2026</v>
      </c>
      <c r="C278" s="11">
        <v>2</v>
      </c>
      <c r="D278" s="11">
        <v>51</v>
      </c>
      <c r="E278" s="11">
        <v>7</v>
      </c>
    </row>
    <row r="279" spans="1:5" x14ac:dyDescent="0.3">
      <c r="A279" s="11" t="s">
        <v>866</v>
      </c>
      <c r="B279" s="11">
        <v>2026</v>
      </c>
      <c r="C279" s="11">
        <v>2</v>
      </c>
      <c r="D279" s="11">
        <v>33</v>
      </c>
      <c r="E279" s="11">
        <v>0</v>
      </c>
    </row>
    <row r="280" spans="1:5" x14ac:dyDescent="0.3">
      <c r="A280" s="11" t="s">
        <v>869</v>
      </c>
      <c r="B280" s="11">
        <v>2026</v>
      </c>
      <c r="C280" s="11">
        <v>2</v>
      </c>
      <c r="D280" s="11">
        <v>31</v>
      </c>
      <c r="E280" s="11">
        <v>3</v>
      </c>
    </row>
    <row r="281" spans="1:5" x14ac:dyDescent="0.3">
      <c r="A281" s="11" t="s">
        <v>872</v>
      </c>
      <c r="B281" s="11">
        <v>2026</v>
      </c>
      <c r="C281" s="11">
        <v>1</v>
      </c>
      <c r="D281" s="11">
        <v>13</v>
      </c>
      <c r="E281" s="11">
        <v>0</v>
      </c>
    </row>
    <row r="282" spans="1:5" x14ac:dyDescent="0.3">
      <c r="A282" s="11" t="s">
        <v>875</v>
      </c>
      <c r="B282" s="11">
        <v>2026</v>
      </c>
      <c r="C282" s="11">
        <v>1</v>
      </c>
      <c r="D282" s="11">
        <v>47</v>
      </c>
      <c r="E282" s="11">
        <v>4</v>
      </c>
    </row>
    <row r="283" spans="1:5" x14ac:dyDescent="0.3">
      <c r="A283" s="11" t="s">
        <v>878</v>
      </c>
      <c r="B283" s="11">
        <v>2026</v>
      </c>
      <c r="C283" s="11">
        <v>1</v>
      </c>
      <c r="D283" s="11">
        <v>17</v>
      </c>
      <c r="E283" s="11">
        <v>11</v>
      </c>
    </row>
    <row r="284" spans="1:5" x14ac:dyDescent="0.3">
      <c r="A284" s="11" t="s">
        <v>881</v>
      </c>
      <c r="B284" s="11">
        <v>2026</v>
      </c>
      <c r="C284" s="11">
        <v>5</v>
      </c>
      <c r="D284" s="11">
        <v>1</v>
      </c>
      <c r="E284" s="11">
        <v>8</v>
      </c>
    </row>
    <row r="285" spans="1:5" x14ac:dyDescent="0.3">
      <c r="A285" s="11" t="s">
        <v>884</v>
      </c>
      <c r="B285" s="11">
        <v>2026</v>
      </c>
      <c r="C285" s="11">
        <v>2</v>
      </c>
      <c r="D285" s="11">
        <v>58</v>
      </c>
      <c r="E285" s="11">
        <v>6</v>
      </c>
    </row>
    <row r="286" spans="1:5" x14ac:dyDescent="0.3">
      <c r="A286" s="11" t="s">
        <v>886</v>
      </c>
      <c r="B286" s="11">
        <v>2026</v>
      </c>
      <c r="C286" s="11">
        <v>3</v>
      </c>
      <c r="D286" s="11">
        <v>37</v>
      </c>
      <c r="E286" s="11">
        <v>3</v>
      </c>
    </row>
    <row r="287" spans="1:5" x14ac:dyDescent="0.3">
      <c r="A287" s="11" t="s">
        <v>889</v>
      </c>
      <c r="B287" s="11">
        <v>2026</v>
      </c>
      <c r="C287" s="11">
        <v>3</v>
      </c>
      <c r="D287" s="11">
        <v>14</v>
      </c>
      <c r="E287" s="11">
        <v>2</v>
      </c>
    </row>
    <row r="288" spans="1:5" x14ac:dyDescent="0.3">
      <c r="A288" s="11" t="s">
        <v>892</v>
      </c>
      <c r="B288" s="11">
        <v>2026</v>
      </c>
      <c r="C288" s="11">
        <v>1</v>
      </c>
      <c r="D288" s="11">
        <v>22</v>
      </c>
      <c r="E288" s="11">
        <v>10</v>
      </c>
    </row>
    <row r="289" spans="1:5" x14ac:dyDescent="0.3">
      <c r="A289" s="11" t="s">
        <v>895</v>
      </c>
      <c r="B289" s="11">
        <v>2026</v>
      </c>
      <c r="C289" s="11">
        <v>4</v>
      </c>
      <c r="D289" s="11">
        <v>30</v>
      </c>
      <c r="E289" s="11">
        <v>10</v>
      </c>
    </row>
    <row r="290" spans="1:5" x14ac:dyDescent="0.3">
      <c r="A290" s="11" t="s">
        <v>898</v>
      </c>
      <c r="B290" s="11">
        <v>2026</v>
      </c>
      <c r="C290" s="11">
        <v>1</v>
      </c>
      <c r="D290" s="11">
        <v>44</v>
      </c>
      <c r="E290" s="11">
        <v>11</v>
      </c>
    </row>
    <row r="291" spans="1:5" x14ac:dyDescent="0.3">
      <c r="A291" s="11" t="s">
        <v>901</v>
      </c>
      <c r="B291" s="11">
        <v>2026</v>
      </c>
      <c r="C291" s="11">
        <v>5</v>
      </c>
      <c r="D291" s="11">
        <v>48</v>
      </c>
      <c r="E291" s="11">
        <v>12</v>
      </c>
    </row>
    <row r="292" spans="1:5" x14ac:dyDescent="0.3">
      <c r="A292" s="11" t="s">
        <v>904</v>
      </c>
      <c r="B292" s="11">
        <v>2026</v>
      </c>
      <c r="C292" s="11">
        <v>3</v>
      </c>
      <c r="D292" s="11">
        <v>39</v>
      </c>
      <c r="E292" s="11">
        <v>9</v>
      </c>
    </row>
    <row r="293" spans="1:5" x14ac:dyDescent="0.3">
      <c r="A293" s="11" t="s">
        <v>907</v>
      </c>
      <c r="B293" s="11">
        <v>2026</v>
      </c>
      <c r="C293" s="11">
        <v>3</v>
      </c>
      <c r="D293" s="11">
        <v>28</v>
      </c>
      <c r="E293" s="11">
        <v>8</v>
      </c>
    </row>
    <row r="294" spans="1:5" x14ac:dyDescent="0.3">
      <c r="A294" s="11" t="s">
        <v>910</v>
      </c>
      <c r="B294" s="11">
        <v>2026</v>
      </c>
      <c r="C294" s="11">
        <v>5</v>
      </c>
      <c r="D294" s="11">
        <v>2</v>
      </c>
      <c r="E294" s="11">
        <v>1</v>
      </c>
    </row>
    <row r="295" spans="1:5" x14ac:dyDescent="0.3">
      <c r="A295" s="11" t="s">
        <v>913</v>
      </c>
      <c r="B295" s="11">
        <v>2026</v>
      </c>
      <c r="C295" s="11">
        <v>3</v>
      </c>
      <c r="D295" s="11">
        <v>24</v>
      </c>
      <c r="E295" s="11">
        <v>5</v>
      </c>
    </row>
    <row r="296" spans="1:5" x14ac:dyDescent="0.3">
      <c r="A296" s="11" t="s">
        <v>916</v>
      </c>
      <c r="B296" s="11">
        <v>2026</v>
      </c>
      <c r="C296" s="11">
        <v>3</v>
      </c>
      <c r="D296" s="11">
        <v>4</v>
      </c>
      <c r="E296" s="11">
        <v>8</v>
      </c>
    </row>
    <row r="297" spans="1:5" x14ac:dyDescent="0.3">
      <c r="A297" s="11" t="s">
        <v>919</v>
      </c>
      <c r="B297" s="11">
        <v>2026</v>
      </c>
      <c r="C297" s="11">
        <v>3</v>
      </c>
      <c r="D297" s="11">
        <v>29</v>
      </c>
      <c r="E297" s="11">
        <v>0</v>
      </c>
    </row>
    <row r="298" spans="1:5" x14ac:dyDescent="0.3">
      <c r="A298" s="11" t="s">
        <v>922</v>
      </c>
      <c r="B298" s="11">
        <v>2026</v>
      </c>
      <c r="C298" s="11">
        <v>3</v>
      </c>
      <c r="D298" s="11">
        <v>41</v>
      </c>
      <c r="E298" s="11">
        <v>6</v>
      </c>
    </row>
    <row r="299" spans="1:5" x14ac:dyDescent="0.3">
      <c r="A299" s="11" t="s">
        <v>925</v>
      </c>
      <c r="B299" s="11">
        <v>2026</v>
      </c>
      <c r="C299" s="11">
        <v>3</v>
      </c>
      <c r="D299" s="11">
        <v>21</v>
      </c>
      <c r="E299" s="11">
        <v>10</v>
      </c>
    </row>
    <row r="300" spans="1:5" x14ac:dyDescent="0.3">
      <c r="A300" s="11" t="s">
        <v>928</v>
      </c>
      <c r="B300" s="11">
        <v>2026</v>
      </c>
      <c r="C300" s="11">
        <v>5</v>
      </c>
      <c r="D300" s="11">
        <v>31</v>
      </c>
      <c r="E300" s="11">
        <v>0</v>
      </c>
    </row>
    <row r="301" spans="1:5" x14ac:dyDescent="0.3">
      <c r="A301" s="11" t="s">
        <v>931</v>
      </c>
      <c r="B301" s="11">
        <v>2026</v>
      </c>
      <c r="C301" s="11">
        <v>1</v>
      </c>
      <c r="D301" s="11">
        <v>48</v>
      </c>
      <c r="E301" s="11">
        <v>8</v>
      </c>
    </row>
    <row r="302" spans="1:5" x14ac:dyDescent="0.3">
      <c r="A302" s="11" t="s">
        <v>934</v>
      </c>
      <c r="B302" s="11">
        <v>2026</v>
      </c>
      <c r="C302" s="11">
        <v>4</v>
      </c>
      <c r="D302" s="11">
        <v>28</v>
      </c>
      <c r="E302" s="11">
        <v>6</v>
      </c>
    </row>
    <row r="303" spans="1:5" x14ac:dyDescent="0.3">
      <c r="A303" s="11" t="s">
        <v>937</v>
      </c>
      <c r="B303" s="11">
        <v>2026</v>
      </c>
      <c r="C303" s="11">
        <v>2</v>
      </c>
      <c r="D303" s="11">
        <v>9</v>
      </c>
      <c r="E303" s="11">
        <v>12</v>
      </c>
    </row>
    <row r="304" spans="1:5" x14ac:dyDescent="0.3">
      <c r="A304" s="11" t="s">
        <v>939</v>
      </c>
      <c r="B304" s="11">
        <v>2026</v>
      </c>
      <c r="C304" s="11">
        <v>1</v>
      </c>
      <c r="D304" s="11">
        <v>57</v>
      </c>
      <c r="E304" s="11">
        <v>0</v>
      </c>
    </row>
    <row r="305" spans="1:5" x14ac:dyDescent="0.3">
      <c r="A305" s="11" t="s">
        <v>942</v>
      </c>
      <c r="B305" s="11">
        <v>2026</v>
      </c>
      <c r="C305" s="11">
        <v>5</v>
      </c>
      <c r="D305" s="11">
        <v>27</v>
      </c>
      <c r="E305" s="11">
        <v>0</v>
      </c>
    </row>
    <row r="306" spans="1:5" x14ac:dyDescent="0.3">
      <c r="A306" s="11" t="s">
        <v>945</v>
      </c>
      <c r="B306" s="11">
        <v>2026</v>
      </c>
      <c r="C306" s="11">
        <v>2</v>
      </c>
      <c r="D306" s="11">
        <v>19</v>
      </c>
      <c r="E306" s="11">
        <v>2</v>
      </c>
    </row>
    <row r="307" spans="1:5" x14ac:dyDescent="0.3">
      <c r="A307" s="11" t="s">
        <v>948</v>
      </c>
      <c r="B307" s="11">
        <v>2026</v>
      </c>
      <c r="C307" s="11">
        <v>2</v>
      </c>
      <c r="D307" s="11">
        <v>23</v>
      </c>
      <c r="E307" s="11">
        <v>5</v>
      </c>
    </row>
    <row r="308" spans="1:5" x14ac:dyDescent="0.3">
      <c r="A308" s="11" t="s">
        <v>951</v>
      </c>
      <c r="B308" s="11">
        <v>2026</v>
      </c>
      <c r="C308" s="11">
        <v>2</v>
      </c>
      <c r="D308" s="11">
        <v>38</v>
      </c>
      <c r="E308" s="11">
        <v>11</v>
      </c>
    </row>
    <row r="309" spans="1:5" x14ac:dyDescent="0.3">
      <c r="A309" s="11" t="s">
        <v>954</v>
      </c>
      <c r="B309" s="11">
        <v>2026</v>
      </c>
      <c r="C309" s="11">
        <v>3</v>
      </c>
      <c r="D309" s="11">
        <v>17</v>
      </c>
      <c r="E309" s="11">
        <v>8</v>
      </c>
    </row>
    <row r="310" spans="1:5" x14ac:dyDescent="0.3">
      <c r="A310" s="11" t="s">
        <v>957</v>
      </c>
      <c r="B310" s="11">
        <v>2026</v>
      </c>
      <c r="C310" s="11">
        <v>1</v>
      </c>
      <c r="D310" s="11">
        <v>26</v>
      </c>
      <c r="E310" s="11">
        <v>8</v>
      </c>
    </row>
    <row r="311" spans="1:5" x14ac:dyDescent="0.3">
      <c r="A311" s="11" t="s">
        <v>959</v>
      </c>
      <c r="B311" s="11">
        <v>2026</v>
      </c>
      <c r="C311" s="11">
        <v>3</v>
      </c>
      <c r="D311" s="11">
        <v>60</v>
      </c>
      <c r="E311" s="11">
        <v>12</v>
      </c>
    </row>
    <row r="312" spans="1:5" x14ac:dyDescent="0.3">
      <c r="A312" s="11" t="s">
        <v>962</v>
      </c>
      <c r="B312" s="11">
        <v>2026</v>
      </c>
      <c r="C312" s="11">
        <v>2</v>
      </c>
      <c r="D312" s="11">
        <v>44</v>
      </c>
      <c r="E312" s="11">
        <v>1</v>
      </c>
    </row>
    <row r="313" spans="1:5" x14ac:dyDescent="0.3">
      <c r="A313" s="11" t="s">
        <v>964</v>
      </c>
      <c r="B313" s="11">
        <v>2026</v>
      </c>
      <c r="C313" s="11">
        <v>4</v>
      </c>
      <c r="D313" s="11">
        <v>13</v>
      </c>
      <c r="E313" s="11">
        <v>5</v>
      </c>
    </row>
    <row r="314" spans="1:5" x14ac:dyDescent="0.3">
      <c r="A314" s="11" t="s">
        <v>967</v>
      </c>
      <c r="B314" s="11">
        <v>2026</v>
      </c>
      <c r="C314" s="11">
        <v>5</v>
      </c>
      <c r="D314" s="11">
        <v>50</v>
      </c>
      <c r="E314" s="11">
        <v>6</v>
      </c>
    </row>
    <row r="315" spans="1:5" x14ac:dyDescent="0.3">
      <c r="A315" s="11" t="s">
        <v>970</v>
      </c>
      <c r="B315" s="11">
        <v>2026</v>
      </c>
      <c r="C315" s="11">
        <v>3</v>
      </c>
      <c r="D315" s="11">
        <v>16</v>
      </c>
      <c r="E315" s="11">
        <v>5</v>
      </c>
    </row>
    <row r="316" spans="1:5" x14ac:dyDescent="0.3">
      <c r="A316" s="11" t="s">
        <v>973</v>
      </c>
      <c r="B316" s="11">
        <v>2026</v>
      </c>
      <c r="C316" s="11">
        <v>1</v>
      </c>
      <c r="D316" s="11">
        <v>28</v>
      </c>
      <c r="E316" s="11">
        <v>8</v>
      </c>
    </row>
    <row r="317" spans="1:5" x14ac:dyDescent="0.3">
      <c r="A317" s="11" t="s">
        <v>976</v>
      </c>
      <c r="B317" s="11">
        <v>2026</v>
      </c>
      <c r="C317" s="11">
        <v>5</v>
      </c>
      <c r="D317" s="11">
        <v>39</v>
      </c>
      <c r="E317" s="11">
        <v>7</v>
      </c>
    </row>
    <row r="318" spans="1:5" x14ac:dyDescent="0.3">
      <c r="A318" s="11" t="s">
        <v>979</v>
      </c>
      <c r="B318" s="11">
        <v>2026</v>
      </c>
      <c r="C318" s="11">
        <v>2</v>
      </c>
      <c r="D318" s="11">
        <v>40</v>
      </c>
      <c r="E318" s="11">
        <v>3</v>
      </c>
    </row>
    <row r="319" spans="1:5" x14ac:dyDescent="0.3">
      <c r="A319" s="11" t="s">
        <v>982</v>
      </c>
      <c r="B319" s="11">
        <v>2026</v>
      </c>
      <c r="C319" s="11">
        <v>2</v>
      </c>
      <c r="D319" s="11">
        <v>32</v>
      </c>
      <c r="E319" s="11">
        <v>5</v>
      </c>
    </row>
    <row r="320" spans="1:5" x14ac:dyDescent="0.3">
      <c r="A320" s="11" t="s">
        <v>985</v>
      </c>
      <c r="B320" s="11">
        <v>2026</v>
      </c>
      <c r="C320" s="11">
        <v>3</v>
      </c>
      <c r="D320" s="11">
        <v>39</v>
      </c>
      <c r="E320" s="11">
        <v>11</v>
      </c>
    </row>
    <row r="321" spans="1:5" x14ac:dyDescent="0.3">
      <c r="A321" s="11" t="s">
        <v>988</v>
      </c>
      <c r="B321" s="11">
        <v>2026</v>
      </c>
      <c r="C321" s="11">
        <v>2</v>
      </c>
      <c r="D321" s="11">
        <v>30</v>
      </c>
      <c r="E321" s="11">
        <v>12</v>
      </c>
    </row>
    <row r="322" spans="1:5" x14ac:dyDescent="0.3">
      <c r="A322" s="11" t="s">
        <v>990</v>
      </c>
      <c r="B322" s="11">
        <v>2026</v>
      </c>
      <c r="C322" s="11">
        <v>5</v>
      </c>
      <c r="D322" s="11">
        <v>54</v>
      </c>
      <c r="E322" s="11">
        <v>9</v>
      </c>
    </row>
    <row r="323" spans="1:5" x14ac:dyDescent="0.3">
      <c r="A323" s="11" t="s">
        <v>993</v>
      </c>
      <c r="B323" s="11">
        <v>2026</v>
      </c>
      <c r="C323" s="11">
        <v>3</v>
      </c>
      <c r="D323" s="11">
        <v>22</v>
      </c>
      <c r="E323" s="11">
        <v>5</v>
      </c>
    </row>
    <row r="324" spans="1:5" x14ac:dyDescent="0.3">
      <c r="A324" s="11" t="s">
        <v>996</v>
      </c>
      <c r="B324" s="11">
        <v>2026</v>
      </c>
      <c r="C324" s="11">
        <v>3</v>
      </c>
      <c r="D324" s="11">
        <v>20</v>
      </c>
      <c r="E324" s="11">
        <v>11</v>
      </c>
    </row>
    <row r="325" spans="1:5" x14ac:dyDescent="0.3">
      <c r="A325" s="11" t="s">
        <v>999</v>
      </c>
      <c r="B325" s="11">
        <v>2026</v>
      </c>
      <c r="C325" s="11">
        <v>4</v>
      </c>
      <c r="D325" s="11">
        <v>3</v>
      </c>
      <c r="E325" s="11">
        <v>4</v>
      </c>
    </row>
    <row r="326" spans="1:5" x14ac:dyDescent="0.3">
      <c r="A326" s="11" t="s">
        <v>1002</v>
      </c>
      <c r="B326" s="11">
        <v>2026</v>
      </c>
      <c r="C326" s="11">
        <v>1</v>
      </c>
      <c r="D326" s="11">
        <v>15</v>
      </c>
      <c r="E326" s="11">
        <v>12</v>
      </c>
    </row>
    <row r="327" spans="1:5" x14ac:dyDescent="0.3">
      <c r="A327" s="11" t="s">
        <v>1005</v>
      </c>
      <c r="B327" s="11">
        <v>2026</v>
      </c>
      <c r="C327" s="11">
        <v>1</v>
      </c>
      <c r="D327" s="11">
        <v>52</v>
      </c>
      <c r="E327" s="11">
        <v>0</v>
      </c>
    </row>
    <row r="328" spans="1:5" x14ac:dyDescent="0.3">
      <c r="A328" s="11" t="s">
        <v>1008</v>
      </c>
      <c r="B328" s="11">
        <v>2026</v>
      </c>
      <c r="C328" s="11">
        <v>5</v>
      </c>
      <c r="D328" s="11">
        <v>47</v>
      </c>
      <c r="E328" s="11">
        <v>8</v>
      </c>
    </row>
    <row r="329" spans="1:5" x14ac:dyDescent="0.3">
      <c r="A329" s="11" t="s">
        <v>1011</v>
      </c>
      <c r="B329" s="11">
        <v>2026</v>
      </c>
      <c r="C329" s="11">
        <v>5</v>
      </c>
      <c r="D329" s="11">
        <v>40</v>
      </c>
      <c r="E329" s="11">
        <v>7</v>
      </c>
    </row>
    <row r="330" spans="1:5" x14ac:dyDescent="0.3">
      <c r="A330" s="11" t="s">
        <v>1014</v>
      </c>
      <c r="B330" s="11">
        <v>2026</v>
      </c>
      <c r="C330" s="11">
        <v>5</v>
      </c>
      <c r="D330" s="11">
        <v>53</v>
      </c>
      <c r="E330" s="11">
        <v>5</v>
      </c>
    </row>
    <row r="331" spans="1:5" x14ac:dyDescent="0.3">
      <c r="A331" s="11" t="s">
        <v>1017</v>
      </c>
      <c r="B331" s="11">
        <v>2026</v>
      </c>
      <c r="C331" s="11">
        <v>1</v>
      </c>
      <c r="D331" s="11">
        <v>49</v>
      </c>
      <c r="E331" s="11">
        <v>1</v>
      </c>
    </row>
    <row r="332" spans="1:5" x14ac:dyDescent="0.3">
      <c r="A332" s="11" t="s">
        <v>1020</v>
      </c>
      <c r="B332" s="11">
        <v>2026</v>
      </c>
      <c r="C332" s="11">
        <v>1</v>
      </c>
      <c r="D332" s="11">
        <v>48</v>
      </c>
      <c r="E332" s="11">
        <v>7</v>
      </c>
    </row>
    <row r="333" spans="1:5" x14ac:dyDescent="0.3">
      <c r="A333" s="11" t="s">
        <v>1023</v>
      </c>
      <c r="B333" s="11">
        <v>2026</v>
      </c>
      <c r="C333" s="11">
        <v>5</v>
      </c>
      <c r="D333" s="11">
        <v>48</v>
      </c>
      <c r="E333" s="11">
        <v>12</v>
      </c>
    </row>
    <row r="334" spans="1:5" x14ac:dyDescent="0.3">
      <c r="A334" s="11" t="s">
        <v>1025</v>
      </c>
      <c r="B334" s="11">
        <v>2026</v>
      </c>
      <c r="C334" s="11">
        <v>3</v>
      </c>
      <c r="D334" s="11">
        <v>59</v>
      </c>
      <c r="E334" s="11">
        <v>8</v>
      </c>
    </row>
    <row r="335" spans="1:5" x14ac:dyDescent="0.3">
      <c r="A335" s="11" t="s">
        <v>1028</v>
      </c>
      <c r="B335" s="11">
        <v>2026</v>
      </c>
      <c r="C335" s="11">
        <v>3</v>
      </c>
      <c r="D335" s="11">
        <v>50</v>
      </c>
      <c r="E335" s="11">
        <v>0</v>
      </c>
    </row>
    <row r="336" spans="1:5" x14ac:dyDescent="0.3">
      <c r="A336" s="11" t="s">
        <v>1031</v>
      </c>
      <c r="B336" s="11">
        <v>2026</v>
      </c>
      <c r="C336" s="11">
        <v>1</v>
      </c>
      <c r="D336" s="11">
        <v>51</v>
      </c>
      <c r="E336" s="11">
        <v>7</v>
      </c>
    </row>
    <row r="337" spans="1:5" x14ac:dyDescent="0.3">
      <c r="A337" s="11" t="s">
        <v>1034</v>
      </c>
      <c r="B337" s="11">
        <v>2026</v>
      </c>
      <c r="C337" s="11">
        <v>2</v>
      </c>
      <c r="D337" s="11">
        <v>57</v>
      </c>
      <c r="E337" s="11">
        <v>8</v>
      </c>
    </row>
    <row r="338" spans="1:5" x14ac:dyDescent="0.3">
      <c r="A338" s="11" t="s">
        <v>1037</v>
      </c>
      <c r="B338" s="11">
        <v>2026</v>
      </c>
      <c r="C338" s="11">
        <v>1</v>
      </c>
      <c r="D338" s="11">
        <v>2</v>
      </c>
      <c r="E338" s="11">
        <v>1</v>
      </c>
    </row>
    <row r="339" spans="1:5" x14ac:dyDescent="0.3">
      <c r="A339" s="11" t="s">
        <v>1040</v>
      </c>
      <c r="B339" s="11">
        <v>2026</v>
      </c>
      <c r="C339" s="11">
        <v>1</v>
      </c>
      <c r="D339" s="11">
        <v>49</v>
      </c>
      <c r="E339" s="11">
        <v>0</v>
      </c>
    </row>
    <row r="340" spans="1:5" x14ac:dyDescent="0.3">
      <c r="A340" s="11" t="s">
        <v>1043</v>
      </c>
      <c r="B340" s="11">
        <v>2026</v>
      </c>
      <c r="C340" s="11">
        <v>3</v>
      </c>
      <c r="D340" s="11">
        <v>21</v>
      </c>
      <c r="E340" s="11">
        <v>6</v>
      </c>
    </row>
    <row r="341" spans="1:5" x14ac:dyDescent="0.3">
      <c r="A341" s="11" t="s">
        <v>1046</v>
      </c>
      <c r="B341" s="11">
        <v>2026</v>
      </c>
      <c r="C341" s="11">
        <v>3</v>
      </c>
      <c r="D341" s="11">
        <v>9</v>
      </c>
      <c r="E341" s="11">
        <v>8</v>
      </c>
    </row>
    <row r="342" spans="1:5" x14ac:dyDescent="0.3">
      <c r="A342" s="11" t="s">
        <v>1049</v>
      </c>
      <c r="B342" s="11">
        <v>2026</v>
      </c>
      <c r="C342" s="11">
        <v>2</v>
      </c>
      <c r="D342" s="11">
        <v>29</v>
      </c>
      <c r="E342" s="11">
        <v>12</v>
      </c>
    </row>
    <row r="343" spans="1:5" x14ac:dyDescent="0.3">
      <c r="A343" s="11" t="s">
        <v>1052</v>
      </c>
      <c r="B343" s="11">
        <v>2026</v>
      </c>
      <c r="C343" s="11">
        <v>5</v>
      </c>
      <c r="D343" s="11">
        <v>17</v>
      </c>
      <c r="E343" s="11">
        <v>0</v>
      </c>
    </row>
    <row r="344" spans="1:5" x14ac:dyDescent="0.3">
      <c r="A344" s="11" t="s">
        <v>1055</v>
      </c>
      <c r="B344" s="11">
        <v>2026</v>
      </c>
      <c r="C344" s="11">
        <v>4</v>
      </c>
      <c r="D344" s="11">
        <v>1</v>
      </c>
      <c r="E344" s="11">
        <v>5</v>
      </c>
    </row>
    <row r="345" spans="1:5" x14ac:dyDescent="0.3">
      <c r="A345" s="11" t="s">
        <v>1058</v>
      </c>
      <c r="B345" s="11">
        <v>2026</v>
      </c>
      <c r="C345" s="11">
        <v>5</v>
      </c>
      <c r="D345" s="11">
        <v>23</v>
      </c>
      <c r="E345" s="11">
        <v>9</v>
      </c>
    </row>
    <row r="346" spans="1:5" x14ac:dyDescent="0.3">
      <c r="A346" s="11" t="s">
        <v>1061</v>
      </c>
      <c r="B346" s="11">
        <v>2026</v>
      </c>
      <c r="C346" s="11">
        <v>2</v>
      </c>
      <c r="D346" s="11">
        <v>30</v>
      </c>
      <c r="E346" s="11">
        <v>9</v>
      </c>
    </row>
    <row r="347" spans="1:5" x14ac:dyDescent="0.3">
      <c r="A347" s="11" t="s">
        <v>1064</v>
      </c>
      <c r="B347" s="11">
        <v>2026</v>
      </c>
      <c r="C347" s="11">
        <v>3</v>
      </c>
      <c r="D347" s="11">
        <v>44</v>
      </c>
      <c r="E347" s="11">
        <v>4</v>
      </c>
    </row>
    <row r="348" spans="1:5" x14ac:dyDescent="0.3">
      <c r="A348" s="11" t="s">
        <v>1067</v>
      </c>
      <c r="B348" s="11">
        <v>2026</v>
      </c>
      <c r="C348" s="11">
        <v>1</v>
      </c>
      <c r="D348" s="11">
        <v>46</v>
      </c>
      <c r="E348" s="11">
        <v>8</v>
      </c>
    </row>
    <row r="349" spans="1:5" x14ac:dyDescent="0.3">
      <c r="A349" s="11" t="s">
        <v>1070</v>
      </c>
      <c r="B349" s="11">
        <v>2026</v>
      </c>
      <c r="C349" s="11">
        <v>2</v>
      </c>
      <c r="D349" s="11">
        <v>1</v>
      </c>
      <c r="E349" s="11">
        <v>4</v>
      </c>
    </row>
    <row r="350" spans="1:5" x14ac:dyDescent="0.3">
      <c r="A350" s="11" t="s">
        <v>1073</v>
      </c>
      <c r="B350" s="11">
        <v>2026</v>
      </c>
      <c r="C350" s="11">
        <v>3</v>
      </c>
      <c r="D350" s="11">
        <v>7</v>
      </c>
      <c r="E350" s="11">
        <v>1</v>
      </c>
    </row>
    <row r="351" spans="1:5" x14ac:dyDescent="0.3">
      <c r="A351" s="11" t="s">
        <v>1076</v>
      </c>
      <c r="B351" s="11">
        <v>2026</v>
      </c>
      <c r="C351" s="11">
        <v>4</v>
      </c>
      <c r="D351" s="11">
        <v>19</v>
      </c>
      <c r="E351" s="11">
        <v>3</v>
      </c>
    </row>
    <row r="352" spans="1:5" x14ac:dyDescent="0.3">
      <c r="A352" s="11" t="s">
        <v>1079</v>
      </c>
      <c r="B352" s="11">
        <v>2026</v>
      </c>
      <c r="C352" s="11">
        <v>2</v>
      </c>
      <c r="D352" s="11">
        <v>43</v>
      </c>
      <c r="E352" s="11">
        <v>8</v>
      </c>
    </row>
    <row r="353" spans="1:5" x14ac:dyDescent="0.3">
      <c r="A353" s="11" t="s">
        <v>1082</v>
      </c>
      <c r="B353" s="11">
        <v>2026</v>
      </c>
      <c r="C353" s="11">
        <v>2</v>
      </c>
      <c r="D353" s="11">
        <v>55</v>
      </c>
      <c r="E353" s="11">
        <v>3</v>
      </c>
    </row>
    <row r="354" spans="1:5" x14ac:dyDescent="0.3">
      <c r="A354" s="11" t="s">
        <v>1085</v>
      </c>
      <c r="B354" s="11">
        <v>2026</v>
      </c>
      <c r="C354" s="11">
        <v>1</v>
      </c>
      <c r="D354" s="11">
        <v>25</v>
      </c>
      <c r="E354" s="11">
        <v>2</v>
      </c>
    </row>
    <row r="355" spans="1:5" x14ac:dyDescent="0.3">
      <c r="A355" s="11" t="s">
        <v>1088</v>
      </c>
      <c r="B355" s="11">
        <v>2026</v>
      </c>
      <c r="C355" s="11">
        <v>1</v>
      </c>
      <c r="D355" s="11">
        <v>57</v>
      </c>
      <c r="E355" s="11">
        <v>3</v>
      </c>
    </row>
    <row r="356" spans="1:5" x14ac:dyDescent="0.3">
      <c r="A356" s="11" t="s">
        <v>1091</v>
      </c>
      <c r="B356" s="11">
        <v>2026</v>
      </c>
      <c r="C356" s="11">
        <v>5</v>
      </c>
      <c r="D356" s="11">
        <v>36</v>
      </c>
      <c r="E356" s="11">
        <v>11</v>
      </c>
    </row>
    <row r="357" spans="1:5" x14ac:dyDescent="0.3">
      <c r="A357" s="11" t="s">
        <v>1094</v>
      </c>
      <c r="B357" s="11">
        <v>2026</v>
      </c>
      <c r="C357" s="11">
        <v>1</v>
      </c>
      <c r="D357" s="11">
        <v>6</v>
      </c>
      <c r="E357" s="11">
        <v>10</v>
      </c>
    </row>
    <row r="358" spans="1:5" x14ac:dyDescent="0.3">
      <c r="A358" s="11" t="s">
        <v>1097</v>
      </c>
      <c r="B358" s="11">
        <v>2026</v>
      </c>
      <c r="C358" s="11">
        <v>4</v>
      </c>
      <c r="D358" s="11">
        <v>56</v>
      </c>
      <c r="E358" s="11">
        <v>3</v>
      </c>
    </row>
    <row r="359" spans="1:5" x14ac:dyDescent="0.3">
      <c r="A359" s="11" t="s">
        <v>1100</v>
      </c>
      <c r="B359" s="11">
        <v>2026</v>
      </c>
      <c r="C359" s="11">
        <v>5</v>
      </c>
      <c r="D359" s="11">
        <v>58</v>
      </c>
      <c r="E359" s="11">
        <v>3</v>
      </c>
    </row>
    <row r="360" spans="1:5" x14ac:dyDescent="0.3">
      <c r="A360" s="11" t="s">
        <v>1103</v>
      </c>
      <c r="B360" s="11">
        <v>2026</v>
      </c>
      <c r="C360" s="11">
        <v>3</v>
      </c>
      <c r="D360" s="11">
        <v>40</v>
      </c>
      <c r="E360" s="11">
        <v>5</v>
      </c>
    </row>
    <row r="361" spans="1:5" x14ac:dyDescent="0.3">
      <c r="A361" s="11" t="s">
        <v>1106</v>
      </c>
      <c r="B361" s="11">
        <v>2026</v>
      </c>
      <c r="C361" s="11">
        <v>3</v>
      </c>
      <c r="D361" s="11">
        <v>40</v>
      </c>
      <c r="E361" s="11">
        <v>5</v>
      </c>
    </row>
    <row r="362" spans="1:5" x14ac:dyDescent="0.3">
      <c r="A362" s="11" t="s">
        <v>1109</v>
      </c>
      <c r="B362" s="11">
        <v>2026</v>
      </c>
      <c r="C362" s="11">
        <v>4</v>
      </c>
      <c r="D362" s="11">
        <v>32</v>
      </c>
      <c r="E362" s="11">
        <v>4</v>
      </c>
    </row>
    <row r="363" spans="1:5" x14ac:dyDescent="0.3">
      <c r="A363" s="11" t="s">
        <v>1112</v>
      </c>
      <c r="B363" s="11">
        <v>2026</v>
      </c>
      <c r="C363" s="11">
        <v>5</v>
      </c>
      <c r="D363" s="11">
        <v>7</v>
      </c>
      <c r="E363" s="11">
        <v>4</v>
      </c>
    </row>
    <row r="364" spans="1:5" x14ac:dyDescent="0.3">
      <c r="A364" s="11" t="s">
        <v>1115</v>
      </c>
      <c r="B364" s="11">
        <v>2026</v>
      </c>
      <c r="C364" s="11">
        <v>5</v>
      </c>
      <c r="D364" s="11">
        <v>1</v>
      </c>
      <c r="E364" s="11">
        <v>4</v>
      </c>
    </row>
    <row r="365" spans="1:5" x14ac:dyDescent="0.3">
      <c r="A365" s="11" t="s">
        <v>1118</v>
      </c>
      <c r="B365" s="11">
        <v>2026</v>
      </c>
      <c r="C365" s="11">
        <v>3</v>
      </c>
      <c r="D365" s="11">
        <v>37</v>
      </c>
      <c r="E365" s="11">
        <v>10</v>
      </c>
    </row>
    <row r="366" spans="1:5" x14ac:dyDescent="0.3">
      <c r="A366" s="11" t="s">
        <v>1121</v>
      </c>
      <c r="B366" s="11">
        <v>2026</v>
      </c>
      <c r="C366" s="11">
        <v>3</v>
      </c>
      <c r="D366" s="11">
        <v>26</v>
      </c>
      <c r="E366" s="11">
        <v>3</v>
      </c>
    </row>
    <row r="367" spans="1:5" x14ac:dyDescent="0.3">
      <c r="A367" s="11" t="s">
        <v>1124</v>
      </c>
      <c r="B367" s="11">
        <v>2026</v>
      </c>
      <c r="C367" s="11">
        <v>3</v>
      </c>
      <c r="D367" s="11">
        <v>39</v>
      </c>
      <c r="E367" s="11">
        <v>7</v>
      </c>
    </row>
    <row r="368" spans="1:5" x14ac:dyDescent="0.3">
      <c r="A368" s="11" t="s">
        <v>1127</v>
      </c>
      <c r="B368" s="11">
        <v>2026</v>
      </c>
      <c r="C368" s="11">
        <v>5</v>
      </c>
      <c r="D368" s="11">
        <v>37</v>
      </c>
      <c r="E368" s="11">
        <v>3</v>
      </c>
    </row>
    <row r="369" spans="1:5" x14ac:dyDescent="0.3">
      <c r="A369" s="11" t="s">
        <v>1130</v>
      </c>
      <c r="B369" s="11">
        <v>2026</v>
      </c>
      <c r="C369" s="11">
        <v>2</v>
      </c>
      <c r="D369" s="11">
        <v>60</v>
      </c>
      <c r="E369" s="11">
        <v>10</v>
      </c>
    </row>
    <row r="370" spans="1:5" x14ac:dyDescent="0.3">
      <c r="A370" s="11" t="s">
        <v>1133</v>
      </c>
      <c r="B370" s="11">
        <v>2026</v>
      </c>
      <c r="C370" s="11">
        <v>5</v>
      </c>
      <c r="D370" s="11">
        <v>21</v>
      </c>
      <c r="E370" s="11">
        <v>9</v>
      </c>
    </row>
    <row r="371" spans="1:5" x14ac:dyDescent="0.3">
      <c r="A371" s="11" t="s">
        <v>1136</v>
      </c>
      <c r="B371" s="11">
        <v>2026</v>
      </c>
      <c r="C371" s="11">
        <v>2</v>
      </c>
      <c r="D371" s="11">
        <v>11</v>
      </c>
      <c r="E371" s="11">
        <v>8</v>
      </c>
    </row>
    <row r="372" spans="1:5" x14ac:dyDescent="0.3">
      <c r="A372" s="11" t="s">
        <v>1139</v>
      </c>
      <c r="B372" s="11">
        <v>2026</v>
      </c>
      <c r="C372" s="11">
        <v>4</v>
      </c>
      <c r="D372" s="11">
        <v>28</v>
      </c>
      <c r="E372" s="11">
        <v>2</v>
      </c>
    </row>
    <row r="373" spans="1:5" x14ac:dyDescent="0.3">
      <c r="A373" s="11" t="s">
        <v>1142</v>
      </c>
      <c r="B373" s="11">
        <v>2026</v>
      </c>
      <c r="C373" s="11">
        <v>1</v>
      </c>
      <c r="D373" s="11">
        <v>55</v>
      </c>
      <c r="E373" s="11">
        <v>7</v>
      </c>
    </row>
    <row r="374" spans="1:5" x14ac:dyDescent="0.3">
      <c r="A374" s="11" t="s">
        <v>1144</v>
      </c>
      <c r="B374" s="11">
        <v>2026</v>
      </c>
      <c r="C374" s="11">
        <v>5</v>
      </c>
      <c r="D374" s="11">
        <v>31</v>
      </c>
      <c r="E374" s="11">
        <v>12</v>
      </c>
    </row>
    <row r="375" spans="1:5" x14ac:dyDescent="0.3">
      <c r="A375" s="11" t="s">
        <v>1146</v>
      </c>
      <c r="B375" s="11">
        <v>2026</v>
      </c>
      <c r="C375" s="11">
        <v>5</v>
      </c>
      <c r="D375" s="11">
        <v>53</v>
      </c>
      <c r="E375" s="11">
        <v>11</v>
      </c>
    </row>
    <row r="376" spans="1:5" x14ac:dyDescent="0.3">
      <c r="A376" s="11" t="s">
        <v>1149</v>
      </c>
      <c r="B376" s="11">
        <v>2026</v>
      </c>
      <c r="C376" s="11">
        <v>3</v>
      </c>
      <c r="D376" s="11">
        <v>29</v>
      </c>
      <c r="E376" s="11">
        <v>3</v>
      </c>
    </row>
    <row r="377" spans="1:5" x14ac:dyDescent="0.3">
      <c r="A377" s="11" t="s">
        <v>1152</v>
      </c>
      <c r="B377" s="11">
        <v>2026</v>
      </c>
      <c r="C377" s="11">
        <v>3</v>
      </c>
      <c r="D377" s="11">
        <v>36</v>
      </c>
      <c r="E377" s="11">
        <v>4</v>
      </c>
    </row>
    <row r="378" spans="1:5" x14ac:dyDescent="0.3">
      <c r="A378" s="11" t="s">
        <v>1155</v>
      </c>
      <c r="B378" s="11">
        <v>2026</v>
      </c>
      <c r="C378" s="11">
        <v>1</v>
      </c>
      <c r="D378" s="11">
        <v>40</v>
      </c>
      <c r="E378" s="11">
        <v>8</v>
      </c>
    </row>
    <row r="379" spans="1:5" x14ac:dyDescent="0.3">
      <c r="A379" s="11" t="s">
        <v>1158</v>
      </c>
      <c r="B379" s="11">
        <v>2026</v>
      </c>
      <c r="C379" s="11">
        <v>3</v>
      </c>
      <c r="D379" s="11">
        <v>53</v>
      </c>
      <c r="E379" s="11">
        <v>2</v>
      </c>
    </row>
    <row r="380" spans="1:5" x14ac:dyDescent="0.3">
      <c r="A380" s="11" t="s">
        <v>1161</v>
      </c>
      <c r="B380" s="11">
        <v>2026</v>
      </c>
      <c r="C380" s="11">
        <v>3</v>
      </c>
      <c r="D380" s="11">
        <v>53</v>
      </c>
      <c r="E380" s="11">
        <v>4</v>
      </c>
    </row>
    <row r="381" spans="1:5" x14ac:dyDescent="0.3">
      <c r="A381" s="11" t="s">
        <v>1164</v>
      </c>
      <c r="B381" s="11">
        <v>2026</v>
      </c>
      <c r="C381" s="11">
        <v>2</v>
      </c>
      <c r="D381" s="11">
        <v>52</v>
      </c>
      <c r="E381" s="11">
        <v>9</v>
      </c>
    </row>
    <row r="382" spans="1:5" x14ac:dyDescent="0.3">
      <c r="A382" s="11" t="s">
        <v>1167</v>
      </c>
      <c r="B382" s="11">
        <v>2026</v>
      </c>
      <c r="C382" s="11">
        <v>4</v>
      </c>
      <c r="D382" s="11">
        <v>3</v>
      </c>
      <c r="E382" s="11">
        <v>4</v>
      </c>
    </row>
    <row r="383" spans="1:5" x14ac:dyDescent="0.3">
      <c r="A383" s="11" t="s">
        <v>1169</v>
      </c>
      <c r="B383" s="11">
        <v>2026</v>
      </c>
      <c r="C383" s="11">
        <v>3</v>
      </c>
      <c r="D383" s="11">
        <v>11</v>
      </c>
      <c r="E383" s="11">
        <v>11</v>
      </c>
    </row>
    <row r="384" spans="1:5" x14ac:dyDescent="0.3">
      <c r="A384" s="11" t="s">
        <v>1172</v>
      </c>
      <c r="B384" s="11">
        <v>2026</v>
      </c>
      <c r="C384" s="11">
        <v>4</v>
      </c>
      <c r="D384" s="11">
        <v>18</v>
      </c>
      <c r="E384" s="11">
        <v>10</v>
      </c>
    </row>
    <row r="385" spans="1:5" x14ac:dyDescent="0.3">
      <c r="A385" s="11" t="s">
        <v>1175</v>
      </c>
      <c r="B385" s="11">
        <v>2026</v>
      </c>
      <c r="C385" s="11">
        <v>2</v>
      </c>
      <c r="D385" s="11">
        <v>36</v>
      </c>
      <c r="E385" s="11">
        <v>5</v>
      </c>
    </row>
    <row r="386" spans="1:5" x14ac:dyDescent="0.3">
      <c r="A386" s="11" t="s">
        <v>1178</v>
      </c>
      <c r="B386" s="11">
        <v>2026</v>
      </c>
      <c r="C386" s="11">
        <v>4</v>
      </c>
      <c r="D386" s="11">
        <v>41</v>
      </c>
      <c r="E386" s="11">
        <v>5</v>
      </c>
    </row>
    <row r="387" spans="1:5" x14ac:dyDescent="0.3">
      <c r="A387" s="11" t="s">
        <v>1180</v>
      </c>
      <c r="B387" s="11">
        <v>2026</v>
      </c>
      <c r="C387" s="11">
        <v>4</v>
      </c>
      <c r="D387" s="11">
        <v>12</v>
      </c>
      <c r="E387" s="11">
        <v>2</v>
      </c>
    </row>
    <row r="388" spans="1:5" x14ac:dyDescent="0.3">
      <c r="A388" s="11" t="s">
        <v>1183</v>
      </c>
      <c r="B388" s="11">
        <v>2026</v>
      </c>
      <c r="C388" s="11">
        <v>1</v>
      </c>
      <c r="D388" s="11">
        <v>50</v>
      </c>
      <c r="E388" s="11">
        <v>5</v>
      </c>
    </row>
    <row r="389" spans="1:5" x14ac:dyDescent="0.3">
      <c r="A389" s="11" t="s">
        <v>1186</v>
      </c>
      <c r="B389" s="11">
        <v>2026</v>
      </c>
      <c r="C389" s="11">
        <v>1</v>
      </c>
      <c r="D389" s="11">
        <v>1</v>
      </c>
      <c r="E389" s="11">
        <v>8</v>
      </c>
    </row>
    <row r="390" spans="1:5" x14ac:dyDescent="0.3">
      <c r="A390" s="11" t="s">
        <v>1189</v>
      </c>
      <c r="B390" s="11">
        <v>2026</v>
      </c>
      <c r="C390" s="11">
        <v>3</v>
      </c>
      <c r="D390" s="11">
        <v>3</v>
      </c>
      <c r="E390" s="11">
        <v>4</v>
      </c>
    </row>
    <row r="391" spans="1:5" x14ac:dyDescent="0.3">
      <c r="A391" s="11" t="s">
        <v>1192</v>
      </c>
      <c r="B391" s="11">
        <v>2026</v>
      </c>
      <c r="C391" s="11">
        <v>5</v>
      </c>
      <c r="D391" s="11">
        <v>14</v>
      </c>
      <c r="E391" s="11">
        <v>10</v>
      </c>
    </row>
    <row r="392" spans="1:5" x14ac:dyDescent="0.3">
      <c r="A392" s="11" t="s">
        <v>1195</v>
      </c>
      <c r="B392" s="11">
        <v>2026</v>
      </c>
      <c r="C392" s="11">
        <v>5</v>
      </c>
      <c r="D392" s="11">
        <v>26</v>
      </c>
      <c r="E392" s="11">
        <v>2</v>
      </c>
    </row>
    <row r="393" spans="1:5" x14ac:dyDescent="0.3">
      <c r="A393" s="11" t="s">
        <v>1198</v>
      </c>
      <c r="B393" s="11">
        <v>2026</v>
      </c>
      <c r="C393" s="11">
        <v>4</v>
      </c>
      <c r="D393" s="11">
        <v>11</v>
      </c>
      <c r="E393" s="11">
        <v>0</v>
      </c>
    </row>
    <row r="394" spans="1:5" x14ac:dyDescent="0.3">
      <c r="A394" s="11" t="s">
        <v>1201</v>
      </c>
      <c r="B394" s="11">
        <v>2026</v>
      </c>
      <c r="C394" s="11">
        <v>4</v>
      </c>
      <c r="D394" s="11">
        <v>49</v>
      </c>
      <c r="E394" s="11">
        <v>12</v>
      </c>
    </row>
    <row r="395" spans="1:5" x14ac:dyDescent="0.3">
      <c r="A395" s="11" t="s">
        <v>1204</v>
      </c>
      <c r="B395" s="11">
        <v>2026</v>
      </c>
      <c r="C395" s="11">
        <v>4</v>
      </c>
      <c r="D395" s="11">
        <v>46</v>
      </c>
      <c r="E395" s="11">
        <v>9</v>
      </c>
    </row>
    <row r="396" spans="1:5" x14ac:dyDescent="0.3">
      <c r="A396" s="11" t="s">
        <v>1207</v>
      </c>
      <c r="B396" s="11">
        <v>2026</v>
      </c>
      <c r="C396" s="11">
        <v>2</v>
      </c>
      <c r="D396" s="11">
        <v>27</v>
      </c>
      <c r="E396" s="11">
        <v>12</v>
      </c>
    </row>
    <row r="397" spans="1:5" x14ac:dyDescent="0.3">
      <c r="A397" s="11" t="s">
        <v>1210</v>
      </c>
      <c r="B397" s="11">
        <v>2026</v>
      </c>
      <c r="C397" s="11">
        <v>5</v>
      </c>
      <c r="D397" s="11">
        <v>26</v>
      </c>
      <c r="E397" s="11">
        <v>5</v>
      </c>
    </row>
    <row r="398" spans="1:5" x14ac:dyDescent="0.3">
      <c r="A398" s="11" t="s">
        <v>1213</v>
      </c>
      <c r="B398" s="11">
        <v>2026</v>
      </c>
      <c r="C398" s="11">
        <v>4</v>
      </c>
      <c r="D398" s="11">
        <v>39</v>
      </c>
      <c r="E398" s="11">
        <v>4</v>
      </c>
    </row>
    <row r="399" spans="1:5" x14ac:dyDescent="0.3">
      <c r="A399" s="11" t="s">
        <v>1216</v>
      </c>
      <c r="B399" s="11">
        <v>2026</v>
      </c>
      <c r="C399" s="11">
        <v>3</v>
      </c>
      <c r="D399" s="11">
        <v>6</v>
      </c>
      <c r="E399" s="11">
        <v>0</v>
      </c>
    </row>
    <row r="400" spans="1:5" x14ac:dyDescent="0.3">
      <c r="A400" s="11" t="s">
        <v>1219</v>
      </c>
      <c r="B400" s="11">
        <v>2026</v>
      </c>
      <c r="C400" s="11">
        <v>1</v>
      </c>
      <c r="D400" s="11">
        <v>47</v>
      </c>
      <c r="E400" s="11">
        <v>5</v>
      </c>
    </row>
    <row r="401" spans="1:5" x14ac:dyDescent="0.3">
      <c r="A401" s="11" t="s">
        <v>1221</v>
      </c>
      <c r="B401" s="11">
        <v>2026</v>
      </c>
      <c r="C401" s="11">
        <v>5</v>
      </c>
      <c r="D401" s="11">
        <v>47</v>
      </c>
      <c r="E401" s="11">
        <v>6</v>
      </c>
    </row>
    <row r="402" spans="1:5" x14ac:dyDescent="0.3">
      <c r="A402" s="11" t="s">
        <v>1224</v>
      </c>
      <c r="B402" s="11">
        <v>2026</v>
      </c>
      <c r="C402" s="11">
        <v>5</v>
      </c>
      <c r="D402" s="11">
        <v>23</v>
      </c>
      <c r="E402" s="11">
        <v>4</v>
      </c>
    </row>
    <row r="403" spans="1:5" x14ac:dyDescent="0.3">
      <c r="A403" s="11" t="s">
        <v>1227</v>
      </c>
      <c r="B403" s="11">
        <v>2026</v>
      </c>
      <c r="C403" s="11">
        <v>2</v>
      </c>
      <c r="D403" s="11">
        <v>9</v>
      </c>
      <c r="E403" s="11">
        <v>11</v>
      </c>
    </row>
    <row r="404" spans="1:5" x14ac:dyDescent="0.3">
      <c r="A404" s="11" t="s">
        <v>1230</v>
      </c>
      <c r="B404" s="11">
        <v>2026</v>
      </c>
      <c r="C404" s="11">
        <v>1</v>
      </c>
      <c r="D404" s="11">
        <v>34</v>
      </c>
      <c r="E404" s="11">
        <v>6</v>
      </c>
    </row>
    <row r="405" spans="1:5" x14ac:dyDescent="0.3">
      <c r="A405" s="11" t="s">
        <v>1233</v>
      </c>
      <c r="B405" s="11">
        <v>2026</v>
      </c>
      <c r="C405" s="11">
        <v>2</v>
      </c>
      <c r="D405" s="11">
        <v>33</v>
      </c>
      <c r="E405" s="11">
        <v>7</v>
      </c>
    </row>
    <row r="406" spans="1:5" x14ac:dyDescent="0.3">
      <c r="A406" s="11" t="s">
        <v>1236</v>
      </c>
      <c r="B406" s="11">
        <v>2026</v>
      </c>
      <c r="C406" s="11">
        <v>4</v>
      </c>
      <c r="D406" s="11">
        <v>44</v>
      </c>
      <c r="E406" s="11">
        <v>9</v>
      </c>
    </row>
    <row r="407" spans="1:5" x14ac:dyDescent="0.3">
      <c r="A407" s="11" t="s">
        <v>1239</v>
      </c>
      <c r="B407" s="11">
        <v>2026</v>
      </c>
      <c r="C407" s="11">
        <v>3</v>
      </c>
      <c r="D407" s="11">
        <v>13</v>
      </c>
      <c r="E407" s="11">
        <v>1</v>
      </c>
    </row>
    <row r="408" spans="1:5" x14ac:dyDescent="0.3">
      <c r="A408" s="11" t="s">
        <v>1242</v>
      </c>
      <c r="B408" s="11">
        <v>2026</v>
      </c>
      <c r="C408" s="11">
        <v>3</v>
      </c>
      <c r="D408" s="11">
        <v>33</v>
      </c>
      <c r="E408" s="11">
        <v>4</v>
      </c>
    </row>
    <row r="409" spans="1:5" x14ac:dyDescent="0.3">
      <c r="A409" s="11" t="s">
        <v>1245</v>
      </c>
      <c r="B409" s="11">
        <v>2026</v>
      </c>
      <c r="C409" s="11">
        <v>5</v>
      </c>
      <c r="D409" s="11">
        <v>36</v>
      </c>
      <c r="E409" s="11">
        <v>0</v>
      </c>
    </row>
    <row r="410" spans="1:5" x14ac:dyDescent="0.3">
      <c r="A410" s="11" t="s">
        <v>1248</v>
      </c>
      <c r="B410" s="11">
        <v>2026</v>
      </c>
      <c r="C410" s="11">
        <v>1</v>
      </c>
      <c r="D410" s="11">
        <v>39</v>
      </c>
      <c r="E410" s="11">
        <v>7</v>
      </c>
    </row>
    <row r="411" spans="1:5" x14ac:dyDescent="0.3">
      <c r="A411" s="11" t="s">
        <v>1251</v>
      </c>
      <c r="B411" s="11">
        <v>2026</v>
      </c>
      <c r="C411" s="11">
        <v>5</v>
      </c>
      <c r="D411" s="11">
        <v>22</v>
      </c>
      <c r="E411" s="11">
        <v>8</v>
      </c>
    </row>
    <row r="412" spans="1:5" x14ac:dyDescent="0.3">
      <c r="A412" s="11" t="s">
        <v>1254</v>
      </c>
      <c r="B412" s="11">
        <v>2026</v>
      </c>
      <c r="C412" s="11">
        <v>1</v>
      </c>
      <c r="D412" s="11">
        <v>57</v>
      </c>
      <c r="E412" s="11">
        <v>0</v>
      </c>
    </row>
    <row r="413" spans="1:5" x14ac:dyDescent="0.3">
      <c r="A413" s="11" t="s">
        <v>1257</v>
      </c>
      <c r="B413" s="11">
        <v>2026</v>
      </c>
      <c r="C413" s="11">
        <v>3</v>
      </c>
      <c r="D413" s="11">
        <v>30</v>
      </c>
      <c r="E413" s="11">
        <v>6</v>
      </c>
    </row>
    <row r="414" spans="1:5" x14ac:dyDescent="0.3">
      <c r="A414" s="11" t="s">
        <v>1260</v>
      </c>
      <c r="B414" s="11">
        <v>2026</v>
      </c>
      <c r="C414" s="11">
        <v>4</v>
      </c>
      <c r="D414" s="11">
        <v>24</v>
      </c>
      <c r="E414" s="11">
        <v>4</v>
      </c>
    </row>
    <row r="415" spans="1:5" x14ac:dyDescent="0.3">
      <c r="A415" s="11" t="s">
        <v>1263</v>
      </c>
      <c r="B415" s="11">
        <v>2026</v>
      </c>
      <c r="C415" s="11">
        <v>3</v>
      </c>
      <c r="D415" s="11">
        <v>10</v>
      </c>
      <c r="E415" s="11">
        <v>3</v>
      </c>
    </row>
    <row r="416" spans="1:5" x14ac:dyDescent="0.3">
      <c r="A416" s="11" t="s">
        <v>1266</v>
      </c>
      <c r="B416" s="11">
        <v>2026</v>
      </c>
      <c r="C416" s="11">
        <v>1</v>
      </c>
      <c r="D416" s="11">
        <v>22</v>
      </c>
      <c r="E416" s="11">
        <v>7</v>
      </c>
    </row>
    <row r="417" spans="1:5" x14ac:dyDescent="0.3">
      <c r="A417" s="11" t="s">
        <v>1269</v>
      </c>
      <c r="B417" s="11">
        <v>2026</v>
      </c>
      <c r="C417" s="11">
        <v>2</v>
      </c>
      <c r="D417" s="11">
        <v>3</v>
      </c>
      <c r="E417" s="11">
        <v>0</v>
      </c>
    </row>
    <row r="418" spans="1:5" x14ac:dyDescent="0.3">
      <c r="A418" s="11" t="s">
        <v>1272</v>
      </c>
      <c r="B418" s="11">
        <v>2026</v>
      </c>
      <c r="C418" s="11">
        <v>1</v>
      </c>
      <c r="D418" s="11">
        <v>45</v>
      </c>
      <c r="E418" s="11">
        <v>8</v>
      </c>
    </row>
    <row r="419" spans="1:5" x14ac:dyDescent="0.3">
      <c r="A419" s="11" t="s">
        <v>1275</v>
      </c>
      <c r="B419" s="11">
        <v>2026</v>
      </c>
      <c r="C419" s="11">
        <v>3</v>
      </c>
      <c r="D419" s="11">
        <v>31</v>
      </c>
      <c r="E419" s="11">
        <v>9</v>
      </c>
    </row>
    <row r="420" spans="1:5" x14ac:dyDescent="0.3">
      <c r="A420" s="11" t="s">
        <v>1278</v>
      </c>
      <c r="B420" s="11">
        <v>2026</v>
      </c>
      <c r="C420" s="11">
        <v>3</v>
      </c>
      <c r="D420" s="11">
        <v>47</v>
      </c>
      <c r="E420" s="11">
        <v>0</v>
      </c>
    </row>
    <row r="421" spans="1:5" x14ac:dyDescent="0.3">
      <c r="A421" s="11" t="s">
        <v>1281</v>
      </c>
      <c r="B421" s="11">
        <v>2026</v>
      </c>
      <c r="C421" s="11">
        <v>1</v>
      </c>
      <c r="D421" s="11">
        <v>18</v>
      </c>
      <c r="E421" s="11">
        <v>2</v>
      </c>
    </row>
    <row r="422" spans="1:5" x14ac:dyDescent="0.3">
      <c r="A422" s="11" t="s">
        <v>1284</v>
      </c>
      <c r="B422" s="11">
        <v>2026</v>
      </c>
      <c r="C422" s="11">
        <v>1</v>
      </c>
      <c r="D422" s="11">
        <v>25</v>
      </c>
      <c r="E422" s="11">
        <v>6</v>
      </c>
    </row>
    <row r="423" spans="1:5" x14ac:dyDescent="0.3">
      <c r="A423" s="11" t="s">
        <v>1287</v>
      </c>
      <c r="B423" s="11">
        <v>2026</v>
      </c>
      <c r="C423" s="11">
        <v>4</v>
      </c>
      <c r="D423" s="11">
        <v>60</v>
      </c>
      <c r="E423" s="11">
        <v>6</v>
      </c>
    </row>
    <row r="424" spans="1:5" x14ac:dyDescent="0.3">
      <c r="A424" s="11" t="s">
        <v>1290</v>
      </c>
      <c r="B424" s="11">
        <v>2026</v>
      </c>
      <c r="C424" s="11">
        <v>4</v>
      </c>
      <c r="D424" s="11">
        <v>53</v>
      </c>
      <c r="E424" s="11">
        <v>8</v>
      </c>
    </row>
    <row r="425" spans="1:5" x14ac:dyDescent="0.3">
      <c r="A425" s="11" t="s">
        <v>1293</v>
      </c>
      <c r="B425" s="11">
        <v>2026</v>
      </c>
      <c r="C425" s="11">
        <v>3</v>
      </c>
      <c r="D425" s="11">
        <v>17</v>
      </c>
      <c r="E425" s="11">
        <v>9</v>
      </c>
    </row>
    <row r="426" spans="1:5" x14ac:dyDescent="0.3">
      <c r="A426" s="11" t="s">
        <v>1296</v>
      </c>
      <c r="B426" s="11">
        <v>2026</v>
      </c>
      <c r="C426" s="11">
        <v>2</v>
      </c>
      <c r="D426" s="11">
        <v>25</v>
      </c>
      <c r="E426" s="11">
        <v>7</v>
      </c>
    </row>
    <row r="427" spans="1:5" x14ac:dyDescent="0.3">
      <c r="A427" s="11" t="s">
        <v>1299</v>
      </c>
      <c r="B427" s="11">
        <v>2026</v>
      </c>
      <c r="C427" s="11">
        <v>5</v>
      </c>
      <c r="D427" s="11">
        <v>42</v>
      </c>
      <c r="E427" s="11">
        <v>2</v>
      </c>
    </row>
    <row r="428" spans="1:5" x14ac:dyDescent="0.3">
      <c r="A428" s="11" t="s">
        <v>1302</v>
      </c>
      <c r="B428" s="11">
        <v>2026</v>
      </c>
      <c r="C428" s="11">
        <v>3</v>
      </c>
      <c r="D428" s="11">
        <v>2</v>
      </c>
      <c r="E428" s="11">
        <v>2</v>
      </c>
    </row>
    <row r="429" spans="1:5" x14ac:dyDescent="0.3">
      <c r="A429" s="11" t="s">
        <v>1305</v>
      </c>
      <c r="B429" s="11">
        <v>2026</v>
      </c>
      <c r="C429" s="11">
        <v>2</v>
      </c>
      <c r="D429" s="11">
        <v>19</v>
      </c>
      <c r="E429" s="11">
        <v>3</v>
      </c>
    </row>
    <row r="430" spans="1:5" x14ac:dyDescent="0.3">
      <c r="A430" s="11" t="s">
        <v>1307</v>
      </c>
      <c r="B430" s="11">
        <v>2026</v>
      </c>
      <c r="C430" s="11">
        <v>1</v>
      </c>
      <c r="D430" s="11">
        <v>35</v>
      </c>
      <c r="E430" s="11">
        <v>5</v>
      </c>
    </row>
    <row r="431" spans="1:5" x14ac:dyDescent="0.3">
      <c r="A431" s="11" t="s">
        <v>1309</v>
      </c>
      <c r="B431" s="11">
        <v>2026</v>
      </c>
      <c r="C431" s="11">
        <v>5</v>
      </c>
      <c r="D431" s="11">
        <v>12</v>
      </c>
      <c r="E431" s="11">
        <v>7</v>
      </c>
    </row>
    <row r="432" spans="1:5" x14ac:dyDescent="0.3">
      <c r="A432" s="11" t="s">
        <v>1312</v>
      </c>
      <c r="B432" s="11">
        <v>2026</v>
      </c>
      <c r="C432" s="11">
        <v>2</v>
      </c>
      <c r="D432" s="11">
        <v>55</v>
      </c>
      <c r="E432" s="11">
        <v>3</v>
      </c>
    </row>
    <row r="433" spans="1:5" x14ac:dyDescent="0.3">
      <c r="A433" s="11" t="s">
        <v>1315</v>
      </c>
      <c r="B433" s="11">
        <v>2026</v>
      </c>
      <c r="C433" s="11">
        <v>4</v>
      </c>
      <c r="D433" s="11">
        <v>41</v>
      </c>
      <c r="E433" s="11">
        <v>7</v>
      </c>
    </row>
    <row r="434" spans="1:5" x14ac:dyDescent="0.3">
      <c r="A434" s="11" t="s">
        <v>1318</v>
      </c>
      <c r="B434" s="11">
        <v>2026</v>
      </c>
      <c r="C434" s="11">
        <v>1</v>
      </c>
      <c r="D434" s="11">
        <v>45</v>
      </c>
      <c r="E434" s="11">
        <v>7</v>
      </c>
    </row>
    <row r="435" spans="1:5" x14ac:dyDescent="0.3">
      <c r="A435" s="11" t="s">
        <v>1321</v>
      </c>
      <c r="B435" s="11">
        <v>2026</v>
      </c>
      <c r="C435" s="11">
        <v>4</v>
      </c>
      <c r="D435" s="11">
        <v>51</v>
      </c>
      <c r="E435" s="11">
        <v>9</v>
      </c>
    </row>
    <row r="436" spans="1:5" x14ac:dyDescent="0.3">
      <c r="A436" s="11" t="s">
        <v>1324</v>
      </c>
      <c r="B436" s="11">
        <v>2026</v>
      </c>
      <c r="C436" s="11">
        <v>1</v>
      </c>
      <c r="D436" s="11">
        <v>5</v>
      </c>
      <c r="E436" s="11">
        <v>10</v>
      </c>
    </row>
    <row r="437" spans="1:5" x14ac:dyDescent="0.3">
      <c r="A437" s="11" t="s">
        <v>1326</v>
      </c>
      <c r="B437" s="11">
        <v>2026</v>
      </c>
      <c r="C437" s="11">
        <v>1</v>
      </c>
      <c r="D437" s="11">
        <v>27</v>
      </c>
      <c r="E437" s="11">
        <v>9</v>
      </c>
    </row>
    <row r="438" spans="1:5" x14ac:dyDescent="0.3">
      <c r="A438" s="11" t="s">
        <v>1328</v>
      </c>
      <c r="B438" s="11">
        <v>2026</v>
      </c>
      <c r="C438" s="11">
        <v>2</v>
      </c>
      <c r="D438" s="11">
        <v>41</v>
      </c>
      <c r="E438" s="11">
        <v>5</v>
      </c>
    </row>
    <row r="439" spans="1:5" x14ac:dyDescent="0.3">
      <c r="A439" s="11" t="s">
        <v>1331</v>
      </c>
      <c r="B439" s="11">
        <v>2026</v>
      </c>
      <c r="C439" s="11">
        <v>2</v>
      </c>
      <c r="D439" s="11">
        <v>58</v>
      </c>
      <c r="E439" s="11">
        <v>11</v>
      </c>
    </row>
    <row r="440" spans="1:5" x14ac:dyDescent="0.3">
      <c r="A440" s="11" t="s">
        <v>1334</v>
      </c>
      <c r="B440" s="11">
        <v>2026</v>
      </c>
      <c r="C440" s="11">
        <v>2</v>
      </c>
      <c r="D440" s="11">
        <v>58</v>
      </c>
      <c r="E440" s="11">
        <v>9</v>
      </c>
    </row>
    <row r="441" spans="1:5" x14ac:dyDescent="0.3">
      <c r="A441" s="11" t="s">
        <v>1337</v>
      </c>
      <c r="B441" s="11">
        <v>2026</v>
      </c>
      <c r="C441" s="11">
        <v>4</v>
      </c>
      <c r="D441" s="11">
        <v>28</v>
      </c>
      <c r="E441" s="11">
        <v>1</v>
      </c>
    </row>
    <row r="442" spans="1:5" x14ac:dyDescent="0.3">
      <c r="A442" s="11" t="s">
        <v>1339</v>
      </c>
      <c r="B442" s="11">
        <v>2026</v>
      </c>
      <c r="C442" s="11">
        <v>2</v>
      </c>
      <c r="D442" s="11">
        <v>35</v>
      </c>
      <c r="E442" s="11">
        <v>12</v>
      </c>
    </row>
    <row r="443" spans="1:5" x14ac:dyDescent="0.3">
      <c r="A443" s="11" t="s">
        <v>1342</v>
      </c>
      <c r="B443" s="11">
        <v>2026</v>
      </c>
      <c r="C443" s="11">
        <v>2</v>
      </c>
      <c r="D443" s="11">
        <v>37</v>
      </c>
      <c r="E443" s="11">
        <v>6</v>
      </c>
    </row>
    <row r="444" spans="1:5" x14ac:dyDescent="0.3">
      <c r="A444" s="11" t="s">
        <v>1345</v>
      </c>
      <c r="B444" s="11">
        <v>2026</v>
      </c>
      <c r="C444" s="11">
        <v>2</v>
      </c>
      <c r="D444" s="11">
        <v>51</v>
      </c>
      <c r="E444" s="11">
        <v>2</v>
      </c>
    </row>
    <row r="445" spans="1:5" x14ac:dyDescent="0.3">
      <c r="A445" s="11" t="s">
        <v>1348</v>
      </c>
      <c r="B445" s="11">
        <v>2026</v>
      </c>
      <c r="C445" s="11">
        <v>2</v>
      </c>
      <c r="D445" s="11">
        <v>13</v>
      </c>
      <c r="E445" s="11">
        <v>5</v>
      </c>
    </row>
    <row r="446" spans="1:5" x14ac:dyDescent="0.3">
      <c r="A446" s="11" t="s">
        <v>1351</v>
      </c>
      <c r="B446" s="11">
        <v>2026</v>
      </c>
      <c r="C446" s="11">
        <v>2</v>
      </c>
      <c r="D446" s="11">
        <v>27</v>
      </c>
      <c r="E446" s="11">
        <v>10</v>
      </c>
    </row>
    <row r="447" spans="1:5" x14ac:dyDescent="0.3">
      <c r="A447" s="11" t="s">
        <v>1354</v>
      </c>
      <c r="B447" s="11">
        <v>2026</v>
      </c>
      <c r="C447" s="11">
        <v>1</v>
      </c>
      <c r="D447" s="11">
        <v>58</v>
      </c>
      <c r="E447" s="11">
        <v>11</v>
      </c>
    </row>
    <row r="448" spans="1:5" x14ac:dyDescent="0.3">
      <c r="A448" s="11" t="s">
        <v>1357</v>
      </c>
      <c r="B448" s="11">
        <v>2026</v>
      </c>
      <c r="C448" s="11">
        <v>1</v>
      </c>
      <c r="D448" s="11">
        <v>32</v>
      </c>
      <c r="E448" s="11">
        <v>10</v>
      </c>
    </row>
    <row r="449" spans="1:5" x14ac:dyDescent="0.3">
      <c r="A449" s="11" t="s">
        <v>1360</v>
      </c>
      <c r="B449" s="11">
        <v>2026</v>
      </c>
      <c r="C449" s="11">
        <v>4</v>
      </c>
      <c r="D449" s="11">
        <v>57</v>
      </c>
      <c r="E449" s="11">
        <v>6</v>
      </c>
    </row>
    <row r="450" spans="1:5" x14ac:dyDescent="0.3">
      <c r="A450" s="11" t="s">
        <v>1363</v>
      </c>
      <c r="B450" s="11">
        <v>2026</v>
      </c>
      <c r="C450" s="11">
        <v>1</v>
      </c>
      <c r="D450" s="11">
        <v>32</v>
      </c>
      <c r="E450" s="11">
        <v>0</v>
      </c>
    </row>
    <row r="451" spans="1:5" x14ac:dyDescent="0.3">
      <c r="A451" s="11" t="s">
        <v>1366</v>
      </c>
      <c r="B451" s="11">
        <v>2026</v>
      </c>
      <c r="C451" s="11">
        <v>2</v>
      </c>
      <c r="D451" s="11">
        <v>59</v>
      </c>
      <c r="E451" s="11">
        <v>9</v>
      </c>
    </row>
    <row r="452" spans="1:5" x14ac:dyDescent="0.3">
      <c r="A452" s="11" t="s">
        <v>1369</v>
      </c>
      <c r="B452" s="11">
        <v>2026</v>
      </c>
      <c r="C452" s="11">
        <v>5</v>
      </c>
      <c r="D452" s="11">
        <v>49</v>
      </c>
      <c r="E452" s="11">
        <v>6</v>
      </c>
    </row>
    <row r="453" spans="1:5" x14ac:dyDescent="0.3">
      <c r="A453" s="11" t="s">
        <v>1372</v>
      </c>
      <c r="B453" s="11">
        <v>2026</v>
      </c>
      <c r="C453" s="11">
        <v>3</v>
      </c>
      <c r="D453" s="11">
        <v>5</v>
      </c>
      <c r="E453" s="11">
        <v>1</v>
      </c>
    </row>
    <row r="454" spans="1:5" x14ac:dyDescent="0.3">
      <c r="A454" s="11" t="s">
        <v>1375</v>
      </c>
      <c r="B454" s="11">
        <v>2026</v>
      </c>
      <c r="C454" s="11">
        <v>4</v>
      </c>
      <c r="D454" s="11">
        <v>58</v>
      </c>
      <c r="E454" s="11">
        <v>10</v>
      </c>
    </row>
    <row r="455" spans="1:5" x14ac:dyDescent="0.3">
      <c r="A455" s="11" t="s">
        <v>1378</v>
      </c>
      <c r="B455" s="11">
        <v>2026</v>
      </c>
      <c r="C455" s="11">
        <v>2</v>
      </c>
      <c r="D455" s="11">
        <v>35</v>
      </c>
      <c r="E455" s="11">
        <v>4</v>
      </c>
    </row>
    <row r="456" spans="1:5" x14ac:dyDescent="0.3">
      <c r="A456" s="11" t="s">
        <v>1381</v>
      </c>
      <c r="B456" s="11">
        <v>2026</v>
      </c>
      <c r="C456" s="11">
        <v>3</v>
      </c>
      <c r="D456" s="11">
        <v>1</v>
      </c>
      <c r="E456" s="11">
        <v>1</v>
      </c>
    </row>
    <row r="457" spans="1:5" x14ac:dyDescent="0.3">
      <c r="A457" s="11" t="s">
        <v>1384</v>
      </c>
      <c r="B457" s="11">
        <v>2026</v>
      </c>
      <c r="C457" s="11">
        <v>4</v>
      </c>
      <c r="D457" s="11">
        <v>17</v>
      </c>
      <c r="E457" s="11">
        <v>5</v>
      </c>
    </row>
    <row r="458" spans="1:5" x14ac:dyDescent="0.3">
      <c r="A458" s="11" t="s">
        <v>1387</v>
      </c>
      <c r="B458" s="11">
        <v>2026</v>
      </c>
      <c r="C458" s="11">
        <v>1</v>
      </c>
      <c r="D458" s="11">
        <v>47</v>
      </c>
      <c r="E458" s="11">
        <v>7</v>
      </c>
    </row>
    <row r="459" spans="1:5" x14ac:dyDescent="0.3">
      <c r="A459" s="11" t="s">
        <v>1390</v>
      </c>
      <c r="B459" s="11">
        <v>2026</v>
      </c>
      <c r="C459" s="11">
        <v>4</v>
      </c>
      <c r="D459" s="11">
        <v>18</v>
      </c>
      <c r="E459" s="11">
        <v>3</v>
      </c>
    </row>
    <row r="460" spans="1:5" x14ac:dyDescent="0.3">
      <c r="A460" s="11" t="s">
        <v>1393</v>
      </c>
      <c r="B460" s="11">
        <v>2026</v>
      </c>
      <c r="C460" s="11">
        <v>3</v>
      </c>
      <c r="D460" s="11">
        <v>21</v>
      </c>
      <c r="E460" s="11">
        <v>12</v>
      </c>
    </row>
    <row r="461" spans="1:5" x14ac:dyDescent="0.3">
      <c r="A461" s="11" t="s">
        <v>1396</v>
      </c>
      <c r="B461" s="11">
        <v>2026</v>
      </c>
      <c r="C461" s="11">
        <v>1</v>
      </c>
      <c r="D461" s="11">
        <v>41</v>
      </c>
      <c r="E461" s="11">
        <v>5</v>
      </c>
    </row>
    <row r="462" spans="1:5" x14ac:dyDescent="0.3">
      <c r="A462" s="11" t="s">
        <v>1398</v>
      </c>
      <c r="B462" s="11">
        <v>2026</v>
      </c>
      <c r="C462" s="11">
        <v>2</v>
      </c>
      <c r="D462" s="11">
        <v>29</v>
      </c>
      <c r="E462" s="11">
        <v>0</v>
      </c>
    </row>
    <row r="463" spans="1:5" x14ac:dyDescent="0.3">
      <c r="A463" s="11" t="s">
        <v>1401</v>
      </c>
      <c r="B463" s="11">
        <v>2026</v>
      </c>
      <c r="C463" s="11">
        <v>2</v>
      </c>
      <c r="D463" s="11">
        <v>21</v>
      </c>
      <c r="E463" s="11">
        <v>0</v>
      </c>
    </row>
    <row r="464" spans="1:5" x14ac:dyDescent="0.3">
      <c r="A464" s="11" t="s">
        <v>1404</v>
      </c>
      <c r="B464" s="11">
        <v>2026</v>
      </c>
      <c r="C464" s="11">
        <v>1</v>
      </c>
      <c r="D464" s="11">
        <v>1</v>
      </c>
      <c r="E464" s="11">
        <v>5</v>
      </c>
    </row>
    <row r="465" spans="1:5" x14ac:dyDescent="0.3">
      <c r="A465" s="11" t="s">
        <v>1407</v>
      </c>
      <c r="B465" s="11">
        <v>2026</v>
      </c>
      <c r="C465" s="11">
        <v>4</v>
      </c>
      <c r="D465" s="11">
        <v>30</v>
      </c>
      <c r="E465" s="11">
        <v>9</v>
      </c>
    </row>
    <row r="466" spans="1:5" x14ac:dyDescent="0.3">
      <c r="A466" s="11" t="s">
        <v>1410</v>
      </c>
      <c r="B466" s="11">
        <v>2026</v>
      </c>
      <c r="C466" s="11">
        <v>3</v>
      </c>
      <c r="D466" s="11">
        <v>35</v>
      </c>
      <c r="E466" s="11">
        <v>9</v>
      </c>
    </row>
    <row r="467" spans="1:5" x14ac:dyDescent="0.3">
      <c r="A467" s="11" t="s">
        <v>1413</v>
      </c>
      <c r="B467" s="11">
        <v>2026</v>
      </c>
      <c r="C467" s="11">
        <v>1</v>
      </c>
      <c r="D467" s="11">
        <v>25</v>
      </c>
      <c r="E467" s="11">
        <v>5</v>
      </c>
    </row>
    <row r="468" spans="1:5" x14ac:dyDescent="0.3">
      <c r="A468" s="11" t="s">
        <v>1416</v>
      </c>
      <c r="B468" s="11">
        <v>2026</v>
      </c>
      <c r="C468" s="11">
        <v>2</v>
      </c>
      <c r="D468" s="11">
        <v>44</v>
      </c>
      <c r="E468" s="11">
        <v>2</v>
      </c>
    </row>
    <row r="469" spans="1:5" x14ac:dyDescent="0.3">
      <c r="A469" s="11" t="s">
        <v>1419</v>
      </c>
      <c r="B469" s="11">
        <v>2026</v>
      </c>
      <c r="C469" s="11">
        <v>2</v>
      </c>
      <c r="D469" s="11">
        <v>38</v>
      </c>
      <c r="E469" s="11">
        <v>11</v>
      </c>
    </row>
    <row r="470" spans="1:5" x14ac:dyDescent="0.3">
      <c r="A470" s="11" t="s">
        <v>1422</v>
      </c>
      <c r="B470" s="11">
        <v>2026</v>
      </c>
      <c r="C470" s="11">
        <v>4</v>
      </c>
      <c r="D470" s="11">
        <v>56</v>
      </c>
      <c r="E470" s="11">
        <v>6</v>
      </c>
    </row>
    <row r="471" spans="1:5" x14ac:dyDescent="0.3">
      <c r="A471" s="11" t="s">
        <v>1425</v>
      </c>
      <c r="B471" s="11">
        <v>2026</v>
      </c>
      <c r="C471" s="11">
        <v>1</v>
      </c>
      <c r="D471" s="11">
        <v>20</v>
      </c>
      <c r="E471" s="11">
        <v>4</v>
      </c>
    </row>
    <row r="472" spans="1:5" x14ac:dyDescent="0.3">
      <c r="A472" s="11" t="s">
        <v>1428</v>
      </c>
      <c r="B472" s="11">
        <v>2026</v>
      </c>
      <c r="C472" s="11">
        <v>4</v>
      </c>
      <c r="D472" s="11">
        <v>28</v>
      </c>
      <c r="E472" s="11">
        <v>4</v>
      </c>
    </row>
    <row r="473" spans="1:5" x14ac:dyDescent="0.3">
      <c r="A473" s="11" t="s">
        <v>1430</v>
      </c>
      <c r="B473" s="11">
        <v>2026</v>
      </c>
      <c r="C473" s="11">
        <v>4</v>
      </c>
      <c r="D473" s="11">
        <v>30</v>
      </c>
      <c r="E473" s="11">
        <v>5</v>
      </c>
    </row>
    <row r="474" spans="1:5" x14ac:dyDescent="0.3">
      <c r="A474" s="11" t="s">
        <v>1433</v>
      </c>
      <c r="B474" s="11">
        <v>2026</v>
      </c>
      <c r="C474" s="11">
        <v>5</v>
      </c>
      <c r="D474" s="11">
        <v>47</v>
      </c>
      <c r="E474" s="11">
        <v>4</v>
      </c>
    </row>
    <row r="475" spans="1:5" x14ac:dyDescent="0.3">
      <c r="A475" s="11" t="s">
        <v>1435</v>
      </c>
      <c r="B475" s="11">
        <v>2026</v>
      </c>
      <c r="C475" s="11">
        <v>4</v>
      </c>
      <c r="D475" s="11">
        <v>32</v>
      </c>
      <c r="E475" s="11">
        <v>8</v>
      </c>
    </row>
    <row r="476" spans="1:5" x14ac:dyDescent="0.3">
      <c r="A476" s="11" t="s">
        <v>1438</v>
      </c>
      <c r="B476" s="11">
        <v>2026</v>
      </c>
      <c r="C476" s="11">
        <v>4</v>
      </c>
      <c r="D476" s="11">
        <v>25</v>
      </c>
      <c r="E476" s="11">
        <v>1</v>
      </c>
    </row>
    <row r="477" spans="1:5" x14ac:dyDescent="0.3">
      <c r="A477" s="11" t="s">
        <v>1440</v>
      </c>
      <c r="B477" s="11">
        <v>2026</v>
      </c>
      <c r="C477" s="11">
        <v>5</v>
      </c>
      <c r="D477" s="11">
        <v>20</v>
      </c>
      <c r="E477" s="11">
        <v>3</v>
      </c>
    </row>
    <row r="478" spans="1:5" x14ac:dyDescent="0.3">
      <c r="A478" s="11" t="s">
        <v>1443</v>
      </c>
      <c r="B478" s="11">
        <v>2026</v>
      </c>
      <c r="C478" s="11">
        <v>3</v>
      </c>
      <c r="D478" s="11">
        <v>50</v>
      </c>
      <c r="E478" s="11">
        <v>11</v>
      </c>
    </row>
    <row r="479" spans="1:5" x14ac:dyDescent="0.3">
      <c r="A479" s="11" t="s">
        <v>1446</v>
      </c>
      <c r="B479" s="11">
        <v>2026</v>
      </c>
      <c r="C479" s="11">
        <v>3</v>
      </c>
      <c r="D479" s="11">
        <v>17</v>
      </c>
      <c r="E479" s="11">
        <v>0</v>
      </c>
    </row>
    <row r="480" spans="1:5" x14ac:dyDescent="0.3">
      <c r="A480" s="11" t="s">
        <v>1448</v>
      </c>
      <c r="B480" s="11">
        <v>2026</v>
      </c>
      <c r="C480" s="11">
        <v>3</v>
      </c>
      <c r="D480" s="11">
        <v>28</v>
      </c>
      <c r="E480" s="11">
        <v>9</v>
      </c>
    </row>
    <row r="481" spans="1:5" x14ac:dyDescent="0.3">
      <c r="A481" s="11" t="s">
        <v>1451</v>
      </c>
      <c r="B481" s="11">
        <v>2026</v>
      </c>
      <c r="C481" s="11">
        <v>2</v>
      </c>
      <c r="D481" s="11">
        <v>19</v>
      </c>
      <c r="E481" s="11">
        <v>10</v>
      </c>
    </row>
    <row r="482" spans="1:5" x14ac:dyDescent="0.3">
      <c r="A482" s="11" t="s">
        <v>1454</v>
      </c>
      <c r="B482" s="11">
        <v>2026</v>
      </c>
      <c r="C482" s="11">
        <v>5</v>
      </c>
      <c r="D482" s="11">
        <v>1</v>
      </c>
      <c r="E482" s="11">
        <v>3</v>
      </c>
    </row>
    <row r="483" spans="1:5" x14ac:dyDescent="0.3">
      <c r="A483" s="11" t="s">
        <v>1457</v>
      </c>
      <c r="B483" s="11">
        <v>2026</v>
      </c>
      <c r="C483" s="11">
        <v>3</v>
      </c>
      <c r="D483" s="11">
        <v>16</v>
      </c>
      <c r="E483" s="11">
        <v>2</v>
      </c>
    </row>
    <row r="484" spans="1:5" x14ac:dyDescent="0.3">
      <c r="A484" s="11" t="s">
        <v>1460</v>
      </c>
      <c r="B484" s="11">
        <v>2026</v>
      </c>
      <c r="C484" s="11">
        <v>3</v>
      </c>
      <c r="D484" s="11">
        <v>32</v>
      </c>
      <c r="E484" s="11">
        <v>6</v>
      </c>
    </row>
    <row r="485" spans="1:5" x14ac:dyDescent="0.3">
      <c r="A485" s="11" t="s">
        <v>1463</v>
      </c>
      <c r="B485" s="11">
        <v>2026</v>
      </c>
      <c r="C485" s="11">
        <v>2</v>
      </c>
      <c r="D485" s="11">
        <v>52</v>
      </c>
      <c r="E485" s="11">
        <v>2</v>
      </c>
    </row>
    <row r="486" spans="1:5" x14ac:dyDescent="0.3">
      <c r="A486" s="11" t="s">
        <v>1466</v>
      </c>
      <c r="B486" s="11">
        <v>2026</v>
      </c>
      <c r="C486" s="11">
        <v>4</v>
      </c>
      <c r="D486" s="11">
        <v>14</v>
      </c>
      <c r="E486" s="11">
        <v>4</v>
      </c>
    </row>
    <row r="487" spans="1:5" x14ac:dyDescent="0.3">
      <c r="A487" s="11" t="s">
        <v>1469</v>
      </c>
      <c r="B487" s="11">
        <v>2026</v>
      </c>
      <c r="C487" s="11">
        <v>4</v>
      </c>
      <c r="D487" s="11">
        <v>15</v>
      </c>
      <c r="E487" s="11">
        <v>6</v>
      </c>
    </row>
    <row r="488" spans="1:5" x14ac:dyDescent="0.3">
      <c r="A488" s="11" t="s">
        <v>1472</v>
      </c>
      <c r="B488" s="11">
        <v>2026</v>
      </c>
      <c r="C488" s="11">
        <v>2</v>
      </c>
      <c r="D488" s="11">
        <v>45</v>
      </c>
      <c r="E488" s="11">
        <v>8</v>
      </c>
    </row>
    <row r="489" spans="1:5" x14ac:dyDescent="0.3">
      <c r="A489" s="11" t="s">
        <v>1475</v>
      </c>
      <c r="B489" s="11">
        <v>2026</v>
      </c>
      <c r="C489" s="11">
        <v>1</v>
      </c>
      <c r="D489" s="11">
        <v>30</v>
      </c>
      <c r="E489" s="11">
        <v>3</v>
      </c>
    </row>
    <row r="490" spans="1:5" x14ac:dyDescent="0.3">
      <c r="A490" s="11" t="s">
        <v>1478</v>
      </c>
      <c r="B490" s="11">
        <v>2026</v>
      </c>
      <c r="C490" s="11">
        <v>5</v>
      </c>
      <c r="D490" s="11">
        <v>1</v>
      </c>
      <c r="E490" s="11">
        <v>2</v>
      </c>
    </row>
    <row r="491" spans="1:5" x14ac:dyDescent="0.3">
      <c r="A491" s="11" t="s">
        <v>1480</v>
      </c>
      <c r="B491" s="11">
        <v>2026</v>
      </c>
      <c r="C491" s="11">
        <v>2</v>
      </c>
      <c r="D491" s="11">
        <v>54</v>
      </c>
      <c r="E491" s="11">
        <v>11</v>
      </c>
    </row>
    <row r="492" spans="1:5" x14ac:dyDescent="0.3">
      <c r="A492" s="11" t="s">
        <v>1483</v>
      </c>
      <c r="B492" s="11">
        <v>2026</v>
      </c>
      <c r="C492" s="11">
        <v>4</v>
      </c>
      <c r="D492" s="11">
        <v>9</v>
      </c>
      <c r="E492" s="11">
        <v>6</v>
      </c>
    </row>
    <row r="493" spans="1:5" x14ac:dyDescent="0.3">
      <c r="A493" s="11" t="s">
        <v>1485</v>
      </c>
      <c r="B493" s="11">
        <v>2026</v>
      </c>
      <c r="C493" s="11">
        <v>5</v>
      </c>
      <c r="D493" s="11">
        <v>33</v>
      </c>
      <c r="E493" s="11">
        <v>7</v>
      </c>
    </row>
    <row r="494" spans="1:5" x14ac:dyDescent="0.3">
      <c r="A494" s="11" t="s">
        <v>1488</v>
      </c>
      <c r="B494" s="11">
        <v>2026</v>
      </c>
      <c r="C494" s="11">
        <v>1</v>
      </c>
      <c r="D494" s="11">
        <v>18</v>
      </c>
      <c r="E494" s="11">
        <v>12</v>
      </c>
    </row>
    <row r="495" spans="1:5" x14ac:dyDescent="0.3">
      <c r="A495" s="11" t="s">
        <v>1490</v>
      </c>
      <c r="B495" s="11">
        <v>2026</v>
      </c>
      <c r="C495" s="11">
        <v>5</v>
      </c>
      <c r="D495" s="11">
        <v>53</v>
      </c>
      <c r="E495" s="11">
        <v>2</v>
      </c>
    </row>
    <row r="496" spans="1:5" x14ac:dyDescent="0.3">
      <c r="A496" s="11" t="s">
        <v>1493</v>
      </c>
      <c r="B496" s="11">
        <v>2026</v>
      </c>
      <c r="C496" s="11">
        <v>4</v>
      </c>
      <c r="D496" s="11">
        <v>12</v>
      </c>
      <c r="E496" s="11">
        <v>0</v>
      </c>
    </row>
    <row r="497" spans="1:5" x14ac:dyDescent="0.3">
      <c r="A497" s="11" t="s">
        <v>1496</v>
      </c>
      <c r="B497" s="11">
        <v>2026</v>
      </c>
      <c r="C497" s="11">
        <v>1</v>
      </c>
      <c r="D497" s="11">
        <v>54</v>
      </c>
      <c r="E497" s="11">
        <v>0</v>
      </c>
    </row>
    <row r="498" spans="1:5" x14ac:dyDescent="0.3">
      <c r="A498" s="11" t="s">
        <v>1499</v>
      </c>
      <c r="B498" s="11">
        <v>2026</v>
      </c>
      <c r="C498" s="11">
        <v>2</v>
      </c>
      <c r="D498" s="11">
        <v>28</v>
      </c>
      <c r="E498" s="11">
        <v>11</v>
      </c>
    </row>
    <row r="499" spans="1:5" x14ac:dyDescent="0.3">
      <c r="A499" s="11" t="s">
        <v>1502</v>
      </c>
      <c r="B499" s="11">
        <v>2026</v>
      </c>
      <c r="C499" s="11">
        <v>2</v>
      </c>
      <c r="D499" s="11">
        <v>36</v>
      </c>
      <c r="E499" s="11">
        <v>2</v>
      </c>
    </row>
    <row r="500" spans="1:5" x14ac:dyDescent="0.3">
      <c r="A500" s="11" t="s">
        <v>1505</v>
      </c>
      <c r="B500" s="11">
        <v>2026</v>
      </c>
      <c r="C500" s="11">
        <v>3</v>
      </c>
      <c r="D500" s="11">
        <v>4</v>
      </c>
      <c r="E500" s="11">
        <v>2</v>
      </c>
    </row>
    <row r="501" spans="1:5" x14ac:dyDescent="0.3">
      <c r="A501" s="11" t="s">
        <v>1508</v>
      </c>
      <c r="B501" s="11">
        <v>2026</v>
      </c>
      <c r="C501" s="11">
        <v>3</v>
      </c>
      <c r="D501" s="11">
        <v>47</v>
      </c>
      <c r="E501" s="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2026-10-19T15:35:10Z</dcterms:created>
  <dcterms:modified xsi:type="dcterms:W3CDTF">2026-10-19T18:04:17Z</dcterms:modified>
</cp:coreProperties>
</file>