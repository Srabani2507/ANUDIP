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Class Work\Day-12\"/>
    </mc:Choice>
  </mc:AlternateContent>
  <xr:revisionPtr revIDLastSave="0" documentId="8_{C33259DF-BF10-47CA-A1BE-F8922A479D7E}" xr6:coauthVersionLast="47" xr6:coauthVersionMax="47" xr10:uidLastSave="{00000000-0000-0000-0000-000000000000}"/>
  <bookViews>
    <workbookView xWindow="-108" yWindow="-108" windowWidth="23256" windowHeight="12456" xr2:uid="{C0606A37-4DF7-4018-B342-64B6E62046DA}"/>
  </bookViews>
  <sheets>
    <sheet name="Index &amp; Mat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1" l="1"/>
  <c r="O19" i="1"/>
  <c r="P19" i="1" s="1"/>
  <c r="O15" i="1"/>
  <c r="P11" i="1" a="1"/>
  <c r="O7" i="1" a="1"/>
  <c r="O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<sst xmlns="http://schemas.openxmlformats.org/spreadsheetml/2006/main" count="152" uniqueCount="45">
  <si>
    <t>Order ID</t>
  </si>
  <si>
    <t>Customer ID</t>
  </si>
  <si>
    <t>Order Date</t>
  </si>
  <si>
    <t>City</t>
  </si>
  <si>
    <t>Sales Channel</t>
  </si>
  <si>
    <t>Payment Method</t>
  </si>
  <si>
    <t>Product Category</t>
  </si>
  <si>
    <t>Brand</t>
  </si>
  <si>
    <t>Units Sold</t>
  </si>
  <si>
    <t>Unit Price</t>
  </si>
  <si>
    <t>Discount %</t>
  </si>
  <si>
    <t>Net Sales</t>
  </si>
  <si>
    <t>Chennai</t>
  </si>
  <si>
    <t>Mobile App</t>
  </si>
  <si>
    <t>Credit Card</t>
  </si>
  <si>
    <t>Home &amp; Kitchen</t>
  </si>
  <si>
    <t>BrandA</t>
  </si>
  <si>
    <t>Pune</t>
  </si>
  <si>
    <t>Website</t>
  </si>
  <si>
    <t>Debit Card</t>
  </si>
  <si>
    <t>Sports</t>
  </si>
  <si>
    <t>BrandD</t>
  </si>
  <si>
    <t>Serial No</t>
  </si>
  <si>
    <t>Value</t>
  </si>
  <si>
    <t>Marketplace</t>
  </si>
  <si>
    <t>Fashion</t>
  </si>
  <si>
    <t>BrandE</t>
  </si>
  <si>
    <t>Bengaluru</t>
  </si>
  <si>
    <t>Cash on Delivery</t>
  </si>
  <si>
    <t>Kolkata</t>
  </si>
  <si>
    <t>Hyderabad</t>
  </si>
  <si>
    <t>Net Banking</t>
  </si>
  <si>
    <t>UPI</t>
  </si>
  <si>
    <t>BrandC</t>
  </si>
  <si>
    <t>Mumbai</t>
  </si>
  <si>
    <t>BrandB</t>
  </si>
  <si>
    <t>Row</t>
  </si>
  <si>
    <t>Column</t>
  </si>
  <si>
    <t>Electronics</t>
  </si>
  <si>
    <t>Delhi</t>
  </si>
  <si>
    <t>Position</t>
  </si>
  <si>
    <t>Beauty</t>
  </si>
  <si>
    <t>OrderID</t>
  </si>
  <si>
    <t>Payment Mode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</si>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</sst>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1203-4516-4EDD-96EC-1861453CA812}">
  <dimension ref="A1:Q26"/>
  <sheetViews>
    <sheetView tabSelected="1" workbookViewId="0">
      <selection activeCell="R14" sqref="R14"/>
    </sheetView>
  </sheetViews>
  <sheetFormatPr defaultRowHeight="14.4" x14ac:dyDescent="0.3"/>
  <cols>
    <col min="1" max="1" width="7.88671875" bestFit="1" customWidth="1"/>
    <col min="2" max="2" width="11.21875" bestFit="1" customWidth="1"/>
    <col min="3" max="3" width="10.33203125" bestFit="1" customWidth="1"/>
    <col min="4" max="4" width="9.77734375" bestFit="1" customWidth="1"/>
    <col min="5" max="5" width="12.6640625" bestFit="1" customWidth="1"/>
    <col min="6" max="6" width="15" bestFit="1" customWidth="1"/>
    <col min="7" max="7" width="15.33203125" bestFit="1" customWidth="1"/>
    <col min="8" max="8" width="7" bestFit="1" customWidth="1"/>
    <col min="9" max="9" width="9.44140625" bestFit="1" customWidth="1"/>
    <col min="10" max="10" width="9.109375" bestFit="1" customWidth="1"/>
    <col min="11" max="11" width="10.21875" bestFit="1" customWidth="1"/>
    <col min="12" max="12" width="9" bestFit="1" customWidth="1"/>
    <col min="14" max="14" width="11.21875" bestFit="1" customWidth="1"/>
    <col min="15" max="15" width="13.33203125" bestFit="1" customWidth="1"/>
    <col min="16" max="16" width="15.332031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x14ac:dyDescent="0.3">
      <c r="A2" s="2">
        <v>10001</v>
      </c>
      <c r="B2" s="2">
        <v>1102</v>
      </c>
      <c r="C2" s="3">
        <v>45197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7</v>
      </c>
      <c r="J2" s="2">
        <v>2843.87</v>
      </c>
      <c r="K2" s="2">
        <v>0</v>
      </c>
      <c r="L2" s="2">
        <v>19907.09</v>
      </c>
    </row>
    <row r="3" spans="1:16" x14ac:dyDescent="0.3">
      <c r="A3" s="2">
        <v>10002</v>
      </c>
      <c r="B3" s="2">
        <v>1435</v>
      </c>
      <c r="C3" s="3">
        <v>45199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>
        <v>9</v>
      </c>
      <c r="J3" s="2">
        <v>2525.23</v>
      </c>
      <c r="K3" s="2">
        <v>5</v>
      </c>
      <c r="L3" s="2">
        <v>21590.720000000001</v>
      </c>
      <c r="N3" s="1" t="s">
        <v>22</v>
      </c>
      <c r="O3" s="1" t="s">
        <v>23</v>
      </c>
    </row>
    <row r="4" spans="1:16" x14ac:dyDescent="0.3">
      <c r="A4" s="2">
        <v>10003</v>
      </c>
      <c r="B4" s="2">
        <v>1860</v>
      </c>
      <c r="C4" s="3">
        <v>45109</v>
      </c>
      <c r="D4" s="2" t="s">
        <v>12</v>
      </c>
      <c r="E4" s="2" t="s">
        <v>24</v>
      </c>
      <c r="F4" s="2" t="s">
        <v>19</v>
      </c>
      <c r="G4" s="2" t="s">
        <v>25</v>
      </c>
      <c r="H4" s="2" t="s">
        <v>26</v>
      </c>
      <c r="I4" s="2">
        <v>6</v>
      </c>
      <c r="J4" s="2">
        <v>3474.34</v>
      </c>
      <c r="K4" s="2">
        <v>15</v>
      </c>
      <c r="L4" s="2">
        <v>17719.13</v>
      </c>
      <c r="N4" s="2">
        <v>10</v>
      </c>
      <c r="O4" s="2" cm="1">
        <f t="array" ref="O4">INDEX(A1:A26, N4)</f>
        <v>10009</v>
      </c>
    </row>
    <row r="5" spans="1:16" x14ac:dyDescent="0.3">
      <c r="A5" s="2">
        <v>10004</v>
      </c>
      <c r="B5" s="2">
        <v>1270</v>
      </c>
      <c r="C5" s="3">
        <v>45079</v>
      </c>
      <c r="D5" s="2" t="s">
        <v>27</v>
      </c>
      <c r="E5" s="2" t="s">
        <v>18</v>
      </c>
      <c r="F5" s="2" t="s">
        <v>28</v>
      </c>
      <c r="G5" s="2" t="s">
        <v>20</v>
      </c>
      <c r="H5" s="2" t="s">
        <v>16</v>
      </c>
      <c r="I5" s="2">
        <v>1</v>
      </c>
      <c r="J5" s="2">
        <v>1008.79</v>
      </c>
      <c r="K5" s="2">
        <v>15</v>
      </c>
      <c r="L5" s="2">
        <v>857.47</v>
      </c>
    </row>
    <row r="6" spans="1:16" x14ac:dyDescent="0.3">
      <c r="A6" s="2">
        <v>10005</v>
      </c>
      <c r="B6" s="2">
        <v>1106</v>
      </c>
      <c r="C6" s="3">
        <v>45241</v>
      </c>
      <c r="D6" s="2" t="s">
        <v>29</v>
      </c>
      <c r="E6" s="2" t="s">
        <v>24</v>
      </c>
      <c r="F6" s="2" t="s">
        <v>14</v>
      </c>
      <c r="G6" s="2" t="s">
        <v>25</v>
      </c>
      <c r="H6" s="2" t="s">
        <v>16</v>
      </c>
      <c r="I6" s="2">
        <v>7</v>
      </c>
      <c r="J6" s="2">
        <v>3511.47</v>
      </c>
      <c r="K6" s="2">
        <v>20</v>
      </c>
      <c r="L6" s="2">
        <v>19664.23</v>
      </c>
      <c r="N6" s="1" t="s">
        <v>22</v>
      </c>
      <c r="O6" s="1" t="s">
        <v>23</v>
      </c>
    </row>
    <row r="7" spans="1:16" x14ac:dyDescent="0.3">
      <c r="A7" s="2">
        <v>10006</v>
      </c>
      <c r="B7" s="2">
        <v>1071</v>
      </c>
      <c r="C7" s="3">
        <v>45260</v>
      </c>
      <c r="D7" s="2" t="s">
        <v>30</v>
      </c>
      <c r="E7" s="2" t="s">
        <v>18</v>
      </c>
      <c r="F7" s="2" t="s">
        <v>31</v>
      </c>
      <c r="G7" s="2" t="s">
        <v>15</v>
      </c>
      <c r="H7" s="2" t="s">
        <v>26</v>
      </c>
      <c r="I7" s="2">
        <v>3</v>
      </c>
      <c r="J7" s="2">
        <v>3189.55</v>
      </c>
      <c r="K7" s="2">
        <v>10</v>
      </c>
      <c r="L7" s="2">
        <v>8611.7800000000007</v>
      </c>
      <c r="N7" s="2">
        <v>5</v>
      </c>
      <c r="O7" s="2" t="str" cm="1">
        <f t="array" ref="O7">INDEX(A1:L1, ,N7)</f>
        <v>Sales Channel</v>
      </c>
    </row>
    <row r="8" spans="1:16" x14ac:dyDescent="0.3">
      <c r="A8" s="2">
        <v>10007</v>
      </c>
      <c r="B8" s="2">
        <v>1700</v>
      </c>
      <c r="C8" s="3">
        <v>45050</v>
      </c>
      <c r="D8" s="2" t="s">
        <v>27</v>
      </c>
      <c r="E8" s="2" t="s">
        <v>13</v>
      </c>
      <c r="F8" s="2" t="s">
        <v>32</v>
      </c>
      <c r="G8" s="2" t="s">
        <v>25</v>
      </c>
      <c r="H8" s="2" t="s">
        <v>33</v>
      </c>
      <c r="I8" s="2">
        <v>5</v>
      </c>
      <c r="J8" s="2">
        <v>3030.42</v>
      </c>
      <c r="K8" s="2">
        <v>10</v>
      </c>
      <c r="L8" s="2">
        <v>13636.89</v>
      </c>
    </row>
    <row r="9" spans="1:16" x14ac:dyDescent="0.3">
      <c r="A9" s="2">
        <v>10008</v>
      </c>
      <c r="B9" s="2">
        <v>1020</v>
      </c>
      <c r="C9" s="3">
        <v>45040</v>
      </c>
      <c r="D9" s="2" t="s">
        <v>34</v>
      </c>
      <c r="E9" s="2" t="s">
        <v>18</v>
      </c>
      <c r="F9" s="2" t="s">
        <v>14</v>
      </c>
      <c r="G9" s="2" t="s">
        <v>25</v>
      </c>
      <c r="H9" s="2" t="s">
        <v>35</v>
      </c>
      <c r="I9" s="2">
        <v>4</v>
      </c>
      <c r="J9" s="2">
        <v>2310.83</v>
      </c>
      <c r="K9" s="2">
        <v>10</v>
      </c>
      <c r="L9" s="2">
        <v>8318.99</v>
      </c>
    </row>
    <row r="10" spans="1:16" x14ac:dyDescent="0.3">
      <c r="A10" s="2">
        <v>10009</v>
      </c>
      <c r="B10" s="2">
        <v>1614</v>
      </c>
      <c r="C10" s="3">
        <v>45204</v>
      </c>
      <c r="D10" s="2" t="s">
        <v>12</v>
      </c>
      <c r="E10" s="2" t="s">
        <v>18</v>
      </c>
      <c r="F10" s="2" t="s">
        <v>19</v>
      </c>
      <c r="G10" s="2" t="s">
        <v>25</v>
      </c>
      <c r="H10" s="2" t="s">
        <v>21</v>
      </c>
      <c r="I10" s="2">
        <v>5</v>
      </c>
      <c r="J10" s="2">
        <v>1098.04</v>
      </c>
      <c r="K10" s="2">
        <v>15</v>
      </c>
      <c r="L10" s="2">
        <v>4666.67</v>
      </c>
      <c r="N10" s="1" t="s">
        <v>36</v>
      </c>
      <c r="O10" s="1" t="s">
        <v>37</v>
      </c>
      <c r="P10" s="1" t="s">
        <v>23</v>
      </c>
    </row>
    <row r="11" spans="1:16" x14ac:dyDescent="0.3">
      <c r="A11" s="2">
        <v>10010</v>
      </c>
      <c r="B11" s="2">
        <v>1121</v>
      </c>
      <c r="C11" s="3">
        <v>45139</v>
      </c>
      <c r="D11" s="2" t="s">
        <v>27</v>
      </c>
      <c r="E11" s="2" t="s">
        <v>18</v>
      </c>
      <c r="F11" s="2" t="s">
        <v>28</v>
      </c>
      <c r="G11" s="2" t="s">
        <v>38</v>
      </c>
      <c r="H11" s="2" t="s">
        <v>35</v>
      </c>
      <c r="I11" s="2">
        <v>5</v>
      </c>
      <c r="J11" s="2">
        <v>1780.66</v>
      </c>
      <c r="K11" s="2">
        <v>20</v>
      </c>
      <c r="L11" s="2">
        <v>7122.64</v>
      </c>
      <c r="N11" s="2">
        <v>3</v>
      </c>
      <c r="O11" s="2">
        <v>4</v>
      </c>
      <c r="P11" s="2" t="str" cm="1">
        <f t="array" ref="P11">INDEX(A1:L26, N11,O11)</f>
        <v>Pune</v>
      </c>
    </row>
    <row r="12" spans="1:16" x14ac:dyDescent="0.3">
      <c r="A12" s="2">
        <v>10011</v>
      </c>
      <c r="B12" s="2">
        <v>1466</v>
      </c>
      <c r="C12" s="3">
        <v>45098</v>
      </c>
      <c r="D12" s="2" t="s">
        <v>27</v>
      </c>
      <c r="E12" s="2" t="s">
        <v>13</v>
      </c>
      <c r="F12" s="2" t="s">
        <v>28</v>
      </c>
      <c r="G12" s="2" t="s">
        <v>38</v>
      </c>
      <c r="H12" s="2" t="s">
        <v>26</v>
      </c>
      <c r="I12" s="2">
        <v>6</v>
      </c>
      <c r="J12" s="2">
        <v>3205.25</v>
      </c>
      <c r="K12" s="2">
        <v>0</v>
      </c>
      <c r="L12" s="2">
        <v>19231.5</v>
      </c>
    </row>
    <row r="13" spans="1:16" x14ac:dyDescent="0.3">
      <c r="A13" s="2">
        <v>10012</v>
      </c>
      <c r="B13" s="2">
        <v>1214</v>
      </c>
      <c r="C13" s="3">
        <v>45214</v>
      </c>
      <c r="D13" s="2" t="s">
        <v>34</v>
      </c>
      <c r="E13" s="2" t="s">
        <v>18</v>
      </c>
      <c r="F13" s="2" t="s">
        <v>32</v>
      </c>
      <c r="G13" s="2" t="s">
        <v>38</v>
      </c>
      <c r="H13" s="2" t="s">
        <v>16</v>
      </c>
      <c r="I13" s="2">
        <v>6</v>
      </c>
      <c r="J13" s="2">
        <v>272.35000000000002</v>
      </c>
      <c r="K13" s="2">
        <v>5</v>
      </c>
      <c r="L13" s="2">
        <v>1552.39</v>
      </c>
    </row>
    <row r="14" spans="1:16" x14ac:dyDescent="0.3">
      <c r="A14" s="2">
        <v>10013</v>
      </c>
      <c r="B14" s="2">
        <v>1330</v>
      </c>
      <c r="C14" s="3">
        <v>45100</v>
      </c>
      <c r="D14" s="2" t="s">
        <v>39</v>
      </c>
      <c r="E14" s="2" t="s">
        <v>13</v>
      </c>
      <c r="F14" s="2" t="s">
        <v>28</v>
      </c>
      <c r="G14" s="2" t="s">
        <v>15</v>
      </c>
      <c r="H14" s="2" t="s">
        <v>16</v>
      </c>
      <c r="I14" s="2">
        <v>8</v>
      </c>
      <c r="J14" s="2">
        <v>3160.9</v>
      </c>
      <c r="K14" s="2">
        <v>0</v>
      </c>
      <c r="L14" s="2">
        <v>25287.200000000001</v>
      </c>
      <c r="N14" s="1" t="s">
        <v>23</v>
      </c>
      <c r="O14" s="1" t="s">
        <v>40</v>
      </c>
    </row>
    <row r="15" spans="1:16" x14ac:dyDescent="0.3">
      <c r="A15" s="2">
        <v>10014</v>
      </c>
      <c r="B15" s="2">
        <v>1458</v>
      </c>
      <c r="C15" s="3">
        <v>45039</v>
      </c>
      <c r="D15" s="2" t="s">
        <v>29</v>
      </c>
      <c r="E15" s="2" t="s">
        <v>24</v>
      </c>
      <c r="F15" s="2" t="s">
        <v>28</v>
      </c>
      <c r="G15" s="2" t="s">
        <v>20</v>
      </c>
      <c r="H15" s="2" t="s">
        <v>21</v>
      </c>
      <c r="I15" s="2">
        <v>8</v>
      </c>
      <c r="J15" s="2">
        <v>1074.27</v>
      </c>
      <c r="K15" s="2">
        <v>15</v>
      </c>
      <c r="L15" s="2">
        <v>7305.04</v>
      </c>
      <c r="N15" s="1" t="s">
        <v>9</v>
      </c>
      <c r="O15" s="2">
        <f>MATCH(N15, A1:L1, 0)</f>
        <v>10</v>
      </c>
    </row>
    <row r="16" spans="1:16" x14ac:dyDescent="0.3">
      <c r="A16" s="2">
        <v>10015</v>
      </c>
      <c r="B16" s="2">
        <v>1087</v>
      </c>
      <c r="C16" s="3">
        <v>45048</v>
      </c>
      <c r="D16" s="2" t="s">
        <v>30</v>
      </c>
      <c r="E16" s="2" t="s">
        <v>18</v>
      </c>
      <c r="F16" s="2" t="s">
        <v>14</v>
      </c>
      <c r="G16" s="2" t="s">
        <v>41</v>
      </c>
      <c r="H16" s="2" t="s">
        <v>16</v>
      </c>
      <c r="I16" s="2">
        <v>9</v>
      </c>
      <c r="J16" s="2">
        <v>705.59</v>
      </c>
      <c r="K16" s="2">
        <v>10</v>
      </c>
      <c r="L16" s="2">
        <v>5715.28</v>
      </c>
    </row>
    <row r="17" spans="1:17" x14ac:dyDescent="0.3">
      <c r="A17" s="2">
        <v>10016</v>
      </c>
      <c r="B17" s="2">
        <v>1372</v>
      </c>
      <c r="C17" s="3">
        <v>44958</v>
      </c>
      <c r="D17" s="2" t="s">
        <v>17</v>
      </c>
      <c r="E17" s="2" t="s">
        <v>13</v>
      </c>
      <c r="F17" s="2" t="s">
        <v>31</v>
      </c>
      <c r="G17" s="2" t="s">
        <v>25</v>
      </c>
      <c r="H17" s="2" t="s">
        <v>16</v>
      </c>
      <c r="I17" s="2">
        <v>8</v>
      </c>
      <c r="J17" s="2">
        <v>595.45000000000005</v>
      </c>
      <c r="K17" s="2">
        <v>5</v>
      </c>
      <c r="L17" s="2">
        <v>4525.42</v>
      </c>
    </row>
    <row r="18" spans="1:17" x14ac:dyDescent="0.3">
      <c r="A18" s="2">
        <v>10017</v>
      </c>
      <c r="B18" s="2">
        <v>1099</v>
      </c>
      <c r="C18" s="3">
        <v>45148</v>
      </c>
      <c r="D18" s="2" t="s">
        <v>39</v>
      </c>
      <c r="E18" s="2" t="s">
        <v>13</v>
      </c>
      <c r="F18" s="2" t="s">
        <v>32</v>
      </c>
      <c r="G18" s="2" t="s">
        <v>25</v>
      </c>
      <c r="H18" s="2" t="s">
        <v>21</v>
      </c>
      <c r="I18" s="2">
        <v>2</v>
      </c>
      <c r="J18" s="2">
        <v>254.91</v>
      </c>
      <c r="K18" s="2">
        <v>15</v>
      </c>
      <c r="L18" s="2">
        <v>433.35</v>
      </c>
      <c r="N18" s="1" t="s">
        <v>1</v>
      </c>
      <c r="O18" s="1" t="s">
        <v>42</v>
      </c>
      <c r="P18" s="1" t="s">
        <v>6</v>
      </c>
      <c r="Q18" s="4"/>
    </row>
    <row r="19" spans="1:17" x14ac:dyDescent="0.3">
      <c r="A19" s="2">
        <v>10018</v>
      </c>
      <c r="B19" s="2">
        <v>1871</v>
      </c>
      <c r="C19" s="3">
        <v>45045</v>
      </c>
      <c r="D19" s="2" t="s">
        <v>12</v>
      </c>
      <c r="E19" s="2" t="s">
        <v>18</v>
      </c>
      <c r="F19" s="2" t="s">
        <v>14</v>
      </c>
      <c r="G19" s="2" t="s">
        <v>15</v>
      </c>
      <c r="H19" s="2" t="s">
        <v>21</v>
      </c>
      <c r="I19" s="2">
        <v>1</v>
      </c>
      <c r="J19" s="2">
        <v>2165.81</v>
      </c>
      <c r="K19" s="2">
        <v>15</v>
      </c>
      <c r="L19" s="2">
        <v>1840.94</v>
      </c>
      <c r="N19" s="2">
        <v>1270</v>
      </c>
      <c r="O19" s="2">
        <f>INDEX(A1:A26,MATCH(N19,B1:B26,0))</f>
        <v>10004</v>
      </c>
      <c r="P19" s="2" t="str">
        <f>INDEX(G1:G26,MATCH(O19,A1:A26,0))</f>
        <v>Sports</v>
      </c>
    </row>
    <row r="20" spans="1:17" x14ac:dyDescent="0.3">
      <c r="A20" s="2">
        <v>10019</v>
      </c>
      <c r="B20" s="2">
        <v>1663</v>
      </c>
      <c r="C20" s="3">
        <v>44965</v>
      </c>
      <c r="D20" s="2" t="s">
        <v>27</v>
      </c>
      <c r="E20" s="2" t="s">
        <v>24</v>
      </c>
      <c r="F20" s="2" t="s">
        <v>31</v>
      </c>
      <c r="G20" s="2" t="s">
        <v>25</v>
      </c>
      <c r="H20" s="2" t="s">
        <v>26</v>
      </c>
      <c r="I20" s="2">
        <v>2</v>
      </c>
      <c r="J20" s="2">
        <v>990.3</v>
      </c>
      <c r="K20" s="2">
        <v>15</v>
      </c>
      <c r="L20" s="2">
        <v>1683.51</v>
      </c>
    </row>
    <row r="21" spans="1:17" x14ac:dyDescent="0.3">
      <c r="A21" s="2">
        <v>10020</v>
      </c>
      <c r="B21" s="2">
        <v>1130</v>
      </c>
      <c r="C21" s="3">
        <v>45194</v>
      </c>
      <c r="D21" s="2" t="s">
        <v>34</v>
      </c>
      <c r="E21" s="2" t="s">
        <v>13</v>
      </c>
      <c r="F21" s="2" t="s">
        <v>14</v>
      </c>
      <c r="G21" s="2" t="s">
        <v>38</v>
      </c>
      <c r="H21" s="2" t="s">
        <v>16</v>
      </c>
      <c r="I21" s="2">
        <v>2</v>
      </c>
      <c r="J21" s="2">
        <v>3959.31</v>
      </c>
      <c r="K21" s="2">
        <v>5</v>
      </c>
      <c r="L21" s="2">
        <v>7522.69</v>
      </c>
    </row>
    <row r="22" spans="1:17" x14ac:dyDescent="0.3">
      <c r="A22" s="2">
        <v>10021</v>
      </c>
      <c r="B22" s="2">
        <v>1661</v>
      </c>
      <c r="C22" s="3">
        <v>45159</v>
      </c>
      <c r="D22" s="2" t="s">
        <v>34</v>
      </c>
      <c r="E22" s="2" t="s">
        <v>18</v>
      </c>
      <c r="F22" s="2" t="s">
        <v>14</v>
      </c>
      <c r="G22" s="2" t="s">
        <v>41</v>
      </c>
      <c r="H22" s="2" t="s">
        <v>16</v>
      </c>
      <c r="I22" s="2">
        <v>3</v>
      </c>
      <c r="J22" s="2">
        <v>2361.58</v>
      </c>
      <c r="K22" s="2">
        <v>5</v>
      </c>
      <c r="L22" s="2">
        <v>6730.5</v>
      </c>
      <c r="N22" s="1" t="s">
        <v>0</v>
      </c>
      <c r="O22" s="1" t="s">
        <v>43</v>
      </c>
    </row>
    <row r="23" spans="1:17" x14ac:dyDescent="0.3">
      <c r="A23" s="2">
        <v>10022</v>
      </c>
      <c r="B23" s="2">
        <v>1308</v>
      </c>
      <c r="C23" s="3">
        <v>44944</v>
      </c>
      <c r="D23" s="2" t="s">
        <v>29</v>
      </c>
      <c r="E23" s="2" t="s">
        <v>24</v>
      </c>
      <c r="F23" s="2" t="s">
        <v>28</v>
      </c>
      <c r="G23" s="2" t="s">
        <v>44</v>
      </c>
      <c r="H23" s="2" t="s">
        <v>26</v>
      </c>
      <c r="I23" s="2">
        <v>7</v>
      </c>
      <c r="J23" s="2">
        <v>680.86</v>
      </c>
      <c r="K23" s="2">
        <v>20</v>
      </c>
      <c r="L23" s="2">
        <v>3812.82</v>
      </c>
      <c r="N23" s="2">
        <v>10002</v>
      </c>
      <c r="O23" s="2" t="str">
        <f>INDEX(F1:F26,MATCH(N23,A1:A26,0))</f>
        <v>Debit Card</v>
      </c>
    </row>
    <row r="24" spans="1:17" x14ac:dyDescent="0.3">
      <c r="A24" s="2">
        <v>10023</v>
      </c>
      <c r="B24" s="2">
        <v>1769</v>
      </c>
      <c r="C24" s="3">
        <v>45075</v>
      </c>
      <c r="D24" s="2" t="s">
        <v>39</v>
      </c>
      <c r="E24" s="2" t="s">
        <v>13</v>
      </c>
      <c r="F24" s="2" t="s">
        <v>31</v>
      </c>
      <c r="G24" s="2" t="s">
        <v>25</v>
      </c>
      <c r="H24" s="2" t="s">
        <v>33</v>
      </c>
      <c r="I24" s="2">
        <v>2</v>
      </c>
      <c r="J24" s="2">
        <v>2801.74</v>
      </c>
      <c r="K24" s="2">
        <v>20</v>
      </c>
      <c r="L24" s="2">
        <v>4482.78</v>
      </c>
    </row>
    <row r="25" spans="1:17" x14ac:dyDescent="0.3">
      <c r="A25" s="2">
        <v>10024</v>
      </c>
      <c r="B25" s="2">
        <v>1343</v>
      </c>
      <c r="C25" s="3">
        <v>45075</v>
      </c>
      <c r="D25" s="2" t="s">
        <v>17</v>
      </c>
      <c r="E25" s="2" t="s">
        <v>13</v>
      </c>
      <c r="F25" s="2" t="s">
        <v>32</v>
      </c>
      <c r="G25" s="2" t="s">
        <v>38</v>
      </c>
      <c r="H25" s="2" t="s">
        <v>33</v>
      </c>
      <c r="I25" s="2">
        <v>1</v>
      </c>
      <c r="J25" s="2">
        <v>3606.31</v>
      </c>
      <c r="K25" s="2">
        <v>0</v>
      </c>
      <c r="L25" s="2">
        <v>3606.31</v>
      </c>
    </row>
    <row r="26" spans="1:17" x14ac:dyDescent="0.3">
      <c r="A26" s="2">
        <v>10025</v>
      </c>
      <c r="B26" s="2">
        <v>1491</v>
      </c>
      <c r="C26" s="3">
        <v>45052</v>
      </c>
      <c r="D26" s="2" t="s">
        <v>29</v>
      </c>
      <c r="E26" s="2" t="s">
        <v>24</v>
      </c>
      <c r="F26" s="2" t="s">
        <v>32</v>
      </c>
      <c r="G26" s="2" t="s">
        <v>44</v>
      </c>
      <c r="H26" s="2" t="s">
        <v>33</v>
      </c>
      <c r="I26" s="2">
        <v>6</v>
      </c>
      <c r="J26" s="2">
        <v>3018.94</v>
      </c>
      <c r="K26" s="2">
        <v>5</v>
      </c>
      <c r="L26" s="2">
        <v>17207.96</v>
      </c>
    </row>
  </sheetData>
  <dataValidations count="1">
    <dataValidation type="list" allowBlank="1" showInputMessage="1" showErrorMessage="1" sqref="N23" xr:uid="{CC9C0434-F821-4022-BCAF-A2B10AAA800B}">
      <formula1>$A$2:$A$26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&amp;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2026-10-19T18:21:40Z</dcterms:created>
  <dcterms:modified xsi:type="dcterms:W3CDTF">2026-10-19T18:23:02Z</dcterms:modified>
</cp:coreProperties>
</file>