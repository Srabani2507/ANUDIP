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nudip\Lab Work\"/>
    </mc:Choice>
  </mc:AlternateContent>
  <xr:revisionPtr revIDLastSave="0" documentId="13_ncr:1_{A538BA89-587D-4F34-AFC4-A6BDEF55E0EC}" xr6:coauthVersionLast="47" xr6:coauthVersionMax="47" xr10:uidLastSave="{00000000-0000-0000-0000-000000000000}"/>
  <bookViews>
    <workbookView xWindow="-108" yWindow="-108" windowWidth="23256" windowHeight="12456" activeTab="1" xr2:uid="{24B87D5A-143B-4785-92EA-24C69202164B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E9" i="2"/>
  <c r="D9" i="2"/>
  <c r="E8" i="2"/>
  <c r="D8" i="2"/>
  <c r="D3" i="1"/>
  <c r="D4" i="1"/>
  <c r="D5" i="1"/>
  <c r="D6" i="1"/>
  <c r="D7" i="1"/>
  <c r="D8" i="1"/>
  <c r="D2" i="1"/>
  <c r="E3" i="2"/>
  <c r="E4" i="2"/>
  <c r="E5" i="2"/>
  <c r="E6" i="2"/>
  <c r="E7" i="2"/>
  <c r="E2" i="2"/>
  <c r="D3" i="2"/>
  <c r="D4" i="2"/>
  <c r="D5" i="2"/>
  <c r="D6" i="2"/>
  <c r="D7" i="2"/>
  <c r="D2" i="2"/>
  <c r="C24" i="2" l="1"/>
  <c r="C22" i="2"/>
  <c r="C23" i="2"/>
  <c r="C25" i="2"/>
  <c r="C21" i="2"/>
  <c r="C20" i="2"/>
  <c r="F9" i="2"/>
  <c r="H9" i="2"/>
  <c r="F8" i="2"/>
  <c r="H8" i="2"/>
  <c r="F3" i="2"/>
  <c r="D22" i="2" s="1"/>
  <c r="H3" i="2"/>
  <c r="F4" i="2"/>
  <c r="D24" i="2" s="1"/>
  <c r="H4" i="2"/>
  <c r="F5" i="2"/>
  <c r="D25" i="2" s="1"/>
  <c r="H5" i="2"/>
  <c r="F6" i="2"/>
  <c r="D21" i="2" s="1"/>
  <c r="H6" i="2"/>
  <c r="F7" i="2"/>
  <c r="D23" i="2" s="1"/>
  <c r="H7" i="2"/>
  <c r="F2" i="2"/>
  <c r="D20" i="2" s="1"/>
  <c r="H2" i="2"/>
  <c r="F22" i="2" l="1"/>
</calcChain>
</file>

<file path=xl/sharedStrings.xml><?xml version="1.0" encoding="utf-8"?>
<sst xmlns="http://schemas.openxmlformats.org/spreadsheetml/2006/main" count="36" uniqueCount="29">
  <si>
    <t xml:space="preserve">ProductID  </t>
  </si>
  <si>
    <t>Price</t>
  </si>
  <si>
    <t>Product</t>
  </si>
  <si>
    <t>Product A</t>
  </si>
  <si>
    <t>Product B</t>
  </si>
  <si>
    <t>Product C</t>
  </si>
  <si>
    <t>Product D</t>
  </si>
  <si>
    <t>Product E</t>
  </si>
  <si>
    <t>Product F</t>
  </si>
  <si>
    <t xml:space="preserve">1. Use VLOOKUP to find the product names for each ProductID in the Orders worksheet. </t>
  </si>
  <si>
    <t xml:space="preserve">2. Use VLOOKUP to find the price for each ProductID in the Orders worksheet, then calculate the TotalPrice by multiplying the Quantity by the Product Price. </t>
  </si>
  <si>
    <t xml:space="preserve">3. Use VLOOKUP to check if there are any ProductIDs in the Orders worksheet that do not exist in the Products worksheet. </t>
  </si>
  <si>
    <t xml:space="preserve">4. Assume a discount of 10% is given on all products. Use VLOOKUP to find the original price and then calculate the discounted price. </t>
  </si>
  <si>
    <t xml:space="preserve">5. Use VLOOKUP to find the price for each ProductID and then calculate the order value. Find the maximum order value from the list. </t>
  </si>
  <si>
    <t xml:space="preserve">6. Use VLOOKUP to find out which products from the Products worksheet have not been ordered. </t>
  </si>
  <si>
    <t xml:space="preserve">7. Use VLOOKUP to find the Product name and summarize the total quantity sold for each product. </t>
  </si>
  <si>
    <t>OrderID</t>
  </si>
  <si>
    <t>ProductID</t>
  </si>
  <si>
    <t>Quantity</t>
  </si>
  <si>
    <t>TotalPrice</t>
  </si>
  <si>
    <t>ProductName</t>
  </si>
  <si>
    <t>ProductPrice</t>
  </si>
  <si>
    <t>DiscountedPrice</t>
  </si>
  <si>
    <t>Product G</t>
  </si>
  <si>
    <t>Ordered/Not Ordered</t>
  </si>
  <si>
    <t>Total Quantity</t>
  </si>
  <si>
    <t>TotalPrice for Each Product</t>
  </si>
  <si>
    <t xml:space="preserve">Max Order Value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</si>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</sst>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4" borderId="0" xfId="0" applyFont="1" applyFill="1"/>
    <xf numFmtId="0" fontId="0" fillId="4" borderId="0" xfId="0" applyFill="1"/>
    <xf numFmtId="0" fontId="1" fillId="2" borderId="0" xfId="0" applyFont="1" applyFill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0" fillId="0" borderId="1" xfId="0" applyFill="1" applyBorder="1" applyAlignment="1">
      <alignment horizontal="center" vertical="center"/>
    </xf>
    <xf numFmtId="0" fontId="1" fillId="6" borderId="0" xfId="0" applyFont="1" applyFill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" fillId="4" borderId="1" xfId="0" applyFont="1" applyFill="1" applyBorder="1" applyAlignment="1">
      <alignment horizontal="center" vertical="center"/>
    </xf>
    <xf numFmtId="0" fontId="1" fillId="7" borderId="0" xfId="0" applyFont="1" applyFill="1"/>
    <xf numFmtId="0" fontId="1" fillId="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8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0" xfId="0" applyFont="1" applyFill="1"/>
    <xf numFmtId="0" fontId="0" fillId="9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00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3C48-0F1E-472B-BD22-F33C21B02D45}">
  <dimension ref="A1:O16"/>
  <sheetViews>
    <sheetView workbookViewId="0">
      <selection activeCell="B1" sqref="B1:B8"/>
    </sheetView>
  </sheetViews>
  <sheetFormatPr defaultRowHeight="14.4" x14ac:dyDescent="0.3"/>
  <cols>
    <col min="1" max="1" width="10" bestFit="1" customWidth="1"/>
    <col min="4" max="4" width="19.44140625" bestFit="1" customWidth="1"/>
  </cols>
  <sheetData>
    <row r="1" spans="1:15" x14ac:dyDescent="0.3">
      <c r="A1" s="2" t="s">
        <v>0</v>
      </c>
      <c r="B1" s="2" t="s">
        <v>2</v>
      </c>
      <c r="C1" s="2" t="s">
        <v>1</v>
      </c>
      <c r="D1" s="15" t="s">
        <v>24</v>
      </c>
    </row>
    <row r="2" spans="1:15" x14ac:dyDescent="0.3">
      <c r="A2" s="3">
        <v>101</v>
      </c>
      <c r="B2" s="3" t="s">
        <v>3</v>
      </c>
      <c r="C2" s="3">
        <v>120</v>
      </c>
      <c r="D2" s="16" t="str">
        <f>IF(ISNA(VLOOKUP(A2,Orders!$B$1:$B$7,1,0)),"Not Ordered", "Ordered")</f>
        <v>Ordered</v>
      </c>
    </row>
    <row r="3" spans="1:15" x14ac:dyDescent="0.3">
      <c r="A3" s="3">
        <v>102</v>
      </c>
      <c r="B3" s="3" t="s">
        <v>4</v>
      </c>
      <c r="C3" s="3">
        <v>150</v>
      </c>
      <c r="D3" s="16" t="str">
        <f>IF(ISNA(VLOOKUP(A3,Orders!$B$1:$B$7,1,0)),"Not Ordered", "Ordered")</f>
        <v>Ordered</v>
      </c>
    </row>
    <row r="4" spans="1:15" x14ac:dyDescent="0.3">
      <c r="A4" s="3">
        <v>103</v>
      </c>
      <c r="B4" s="3" t="s">
        <v>5</v>
      </c>
      <c r="C4" s="3">
        <v>200</v>
      </c>
      <c r="D4" s="16" t="str">
        <f>IF(ISNA(VLOOKUP(A4,Orders!$B$1:$B$7,1,0)),"Not Ordered", "Ordered")</f>
        <v>Ordered</v>
      </c>
    </row>
    <row r="5" spans="1:15" x14ac:dyDescent="0.3">
      <c r="A5" s="3">
        <v>104</v>
      </c>
      <c r="B5" s="3" t="s">
        <v>6</v>
      </c>
      <c r="C5" s="3">
        <v>90</v>
      </c>
      <c r="D5" s="16" t="str">
        <f>IF(ISNA(VLOOKUP(A5,Orders!$B$1:$B$7,1,0)),"Not Ordered", "Ordered")</f>
        <v>Ordered</v>
      </c>
    </row>
    <row r="6" spans="1:15" x14ac:dyDescent="0.3">
      <c r="A6" s="3">
        <v>105</v>
      </c>
      <c r="B6" s="3" t="s">
        <v>7</v>
      </c>
      <c r="C6" s="3">
        <v>220</v>
      </c>
      <c r="D6" s="16" t="str">
        <f>IF(ISNA(VLOOKUP(A6,Orders!$B$1:$B$7,1,0)),"Not Ordered", "Ordered")</f>
        <v>Ordered</v>
      </c>
    </row>
    <row r="7" spans="1:15" x14ac:dyDescent="0.3">
      <c r="A7" s="3">
        <v>106</v>
      </c>
      <c r="B7" s="3" t="s">
        <v>8</v>
      </c>
      <c r="C7" s="3">
        <v>130</v>
      </c>
      <c r="D7" s="16" t="str">
        <f>IF(ISNA(VLOOKUP(A7,Orders!$B$1:$B$7,1,0)),"Not Ordered", "Ordered")</f>
        <v>Ordered</v>
      </c>
    </row>
    <row r="8" spans="1:15" x14ac:dyDescent="0.3">
      <c r="A8" s="13">
        <v>107</v>
      </c>
      <c r="B8" s="13" t="s">
        <v>23</v>
      </c>
      <c r="C8" s="13">
        <v>140</v>
      </c>
      <c r="D8" s="16" t="str">
        <f>IF(ISNA(VLOOKUP(A8,Orders!$B$1:$B$7,1,0)),"Not Ordered", "Ordered")</f>
        <v>Not Ordered</v>
      </c>
    </row>
    <row r="10" spans="1:15" x14ac:dyDescent="0.3">
      <c r="A10" s="5"/>
      <c r="B10" s="5"/>
      <c r="C10" s="5"/>
      <c r="D10" s="5"/>
      <c r="E10" s="5"/>
      <c r="F10" s="5"/>
      <c r="G10" s="5"/>
      <c r="H10" s="5"/>
      <c r="I10" s="5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N14" s="1"/>
      <c r="O14" s="1"/>
    </row>
    <row r="15" spans="1:15" x14ac:dyDescent="0.3">
      <c r="K15" s="1"/>
      <c r="L15" s="1"/>
      <c r="M15" s="1"/>
      <c r="N15" s="1"/>
      <c r="O15" s="1"/>
    </row>
    <row r="16" spans="1:15" x14ac:dyDescent="0.3">
      <c r="K16" s="1"/>
      <c r="L16" s="1"/>
      <c r="M16" s="1"/>
      <c r="N16" s="1"/>
      <c r="O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B96B-B3F3-4C25-9EEF-BA3C2DDDFED5}">
  <dimension ref="A1:O25"/>
  <sheetViews>
    <sheetView tabSelected="1" workbookViewId="0">
      <selection activeCell="H20" sqref="H20"/>
    </sheetView>
  </sheetViews>
  <sheetFormatPr defaultRowHeight="14.4" x14ac:dyDescent="0.3"/>
  <cols>
    <col min="2" max="2" width="12.6640625" bestFit="1" customWidth="1"/>
    <col min="3" max="3" width="13.109375" bestFit="1" customWidth="1"/>
    <col min="4" max="4" width="24.109375" bestFit="1" customWidth="1"/>
    <col min="5" max="5" width="15.88671875" customWidth="1"/>
    <col min="6" max="6" width="15.6640625" bestFit="1" customWidth="1"/>
    <col min="7" max="7" width="23" customWidth="1"/>
    <col min="8" max="8" width="26.88671875" customWidth="1"/>
    <col min="9" max="9" width="21.21875" customWidth="1"/>
    <col min="10" max="10" width="24.109375" bestFit="1" customWidth="1"/>
    <col min="11" max="12" width="15.6640625" bestFit="1" customWidth="1"/>
    <col min="13" max="13" width="12.6640625" bestFit="1" customWidth="1"/>
    <col min="14" max="14" width="11.88671875" customWidth="1"/>
  </cols>
  <sheetData>
    <row r="1" spans="1:15" x14ac:dyDescent="0.3">
      <c r="A1" s="4" t="s">
        <v>16</v>
      </c>
      <c r="B1" s="4" t="s">
        <v>17</v>
      </c>
      <c r="C1" s="4" t="s">
        <v>18</v>
      </c>
      <c r="D1" s="20" t="s">
        <v>20</v>
      </c>
      <c r="E1" s="2" t="s">
        <v>21</v>
      </c>
      <c r="F1" s="2" t="s">
        <v>19</v>
      </c>
      <c r="G1" s="30" t="s">
        <v>28</v>
      </c>
      <c r="H1" s="34" t="s">
        <v>22</v>
      </c>
    </row>
    <row r="2" spans="1:15" x14ac:dyDescent="0.3">
      <c r="A2" s="3">
        <v>1</v>
      </c>
      <c r="B2" s="3">
        <v>101</v>
      </c>
      <c r="C2" s="3">
        <v>2</v>
      </c>
      <c r="D2" s="36" t="str">
        <f>VLOOKUP(B2,Products!$A$1:$C$7, 2,0)</f>
        <v>Product A</v>
      </c>
      <c r="E2" s="10">
        <f>VLOOKUP(B2,Products!$A$1:$C$7,3,0)</f>
        <v>120</v>
      </c>
      <c r="F2" s="10">
        <f>C2*E2</f>
        <v>240</v>
      </c>
      <c r="G2" s="31" t="str">
        <f>IF(ISNA(VLOOKUP(B2,Products!$A$2:$A$8,1,0)),"Does Not Exist","Exists")</f>
        <v>Exists</v>
      </c>
      <c r="H2" s="35">
        <f>Orders!E2-Orders!E2*10%</f>
        <v>108</v>
      </c>
    </row>
    <row r="3" spans="1:15" x14ac:dyDescent="0.3">
      <c r="A3" s="3">
        <v>2</v>
      </c>
      <c r="B3" s="3">
        <v>103</v>
      </c>
      <c r="C3" s="3">
        <v>1</v>
      </c>
      <c r="D3" s="36" t="str">
        <f>VLOOKUP(B3,Products!$A$1:$C$7, 2,0)</f>
        <v>Product C</v>
      </c>
      <c r="E3" s="10">
        <f>VLOOKUP(B3,Products!$A$1:$C$7,3,0)</f>
        <v>200</v>
      </c>
      <c r="F3" s="10">
        <f t="shared" ref="F3:F9" si="0">C3*E3</f>
        <v>200</v>
      </c>
      <c r="G3" s="31" t="str">
        <f>IF(ISNA(VLOOKUP(B3,Products!$A$2:$A$8,1,0)),"Does Not Exist","Exists")</f>
        <v>Exists</v>
      </c>
      <c r="H3" s="35">
        <f>Orders!E3-Orders!E3*10%</f>
        <v>180</v>
      </c>
    </row>
    <row r="4" spans="1:15" x14ac:dyDescent="0.3">
      <c r="A4" s="3">
        <v>3</v>
      </c>
      <c r="B4" s="3">
        <v>105</v>
      </c>
      <c r="C4" s="3">
        <v>4</v>
      </c>
      <c r="D4" s="36" t="str">
        <f>VLOOKUP(B4,Products!$A$1:$C$7, 2,0)</f>
        <v>Product E</v>
      </c>
      <c r="E4" s="10">
        <f>VLOOKUP(B4,Products!$A$1:$C$7,3,0)</f>
        <v>220</v>
      </c>
      <c r="F4" s="10">
        <f t="shared" si="0"/>
        <v>880</v>
      </c>
      <c r="G4" s="31" t="str">
        <f>IF(ISNA(VLOOKUP(B4,Products!$A$2:$A$8,1,0)),"Does Not Exist","Exists")</f>
        <v>Exists</v>
      </c>
      <c r="H4" s="35">
        <f>Orders!E4-Orders!E4*10%</f>
        <v>198</v>
      </c>
    </row>
    <row r="5" spans="1:15" x14ac:dyDescent="0.3">
      <c r="A5" s="3">
        <v>4</v>
      </c>
      <c r="B5" s="3">
        <v>106</v>
      </c>
      <c r="C5" s="3">
        <v>3</v>
      </c>
      <c r="D5" s="36" t="str">
        <f>VLOOKUP(B5,Products!$A$1:$C$7, 2,0)</f>
        <v>Product F</v>
      </c>
      <c r="E5" s="10">
        <f>VLOOKUP(B5,Products!$A$1:$C$7,3,0)</f>
        <v>130</v>
      </c>
      <c r="F5" s="10">
        <f t="shared" si="0"/>
        <v>390</v>
      </c>
      <c r="G5" s="31" t="str">
        <f>IF(ISNA(VLOOKUP(B5,Products!$A$2:$A$8,1,0)),"Does Not Exist","Exists")</f>
        <v>Exists</v>
      </c>
      <c r="H5" s="35">
        <f>Orders!E5-Orders!E5*10%</f>
        <v>117</v>
      </c>
    </row>
    <row r="6" spans="1:15" x14ac:dyDescent="0.3">
      <c r="A6" s="3">
        <v>5</v>
      </c>
      <c r="B6" s="3">
        <v>102</v>
      </c>
      <c r="C6" s="3">
        <v>5</v>
      </c>
      <c r="D6" s="36" t="str">
        <f>VLOOKUP(B6,Products!$A$1:$C$7, 2,0)</f>
        <v>Product B</v>
      </c>
      <c r="E6" s="10">
        <f>VLOOKUP(B6,Products!$A$1:$C$7,3,0)</f>
        <v>150</v>
      </c>
      <c r="F6" s="10">
        <f t="shared" si="0"/>
        <v>750</v>
      </c>
      <c r="G6" s="31" t="str">
        <f>IF(ISNA(VLOOKUP(B6,Products!$A$2:$A$8,1,0)),"Does Not Exist","Exists")</f>
        <v>Exists</v>
      </c>
      <c r="H6" s="35">
        <f>Orders!E6-Orders!E6*10%</f>
        <v>135</v>
      </c>
    </row>
    <row r="7" spans="1:15" x14ac:dyDescent="0.3">
      <c r="A7" s="3">
        <v>6</v>
      </c>
      <c r="B7" s="3">
        <v>104</v>
      </c>
      <c r="C7" s="3">
        <v>6</v>
      </c>
      <c r="D7" s="36" t="str">
        <f>VLOOKUP(B7,Products!$A$1:$C$7, 2,0)</f>
        <v>Product D</v>
      </c>
      <c r="E7" s="10">
        <f>VLOOKUP(B7,Products!$A$1:$C$7,3,0)</f>
        <v>90</v>
      </c>
      <c r="F7" s="10">
        <f t="shared" si="0"/>
        <v>540</v>
      </c>
      <c r="G7" s="31" t="str">
        <f>IF(ISNA(VLOOKUP(B7,Products!$A$2:$A$8,1,0)),"Does Not Exist","Exists")</f>
        <v>Exists</v>
      </c>
      <c r="H7" s="35">
        <f>Orders!E7-Orders!E7*10%</f>
        <v>81</v>
      </c>
    </row>
    <row r="8" spans="1:15" x14ac:dyDescent="0.3">
      <c r="A8" s="13">
        <v>7</v>
      </c>
      <c r="B8" s="13">
        <v>101</v>
      </c>
      <c r="C8" s="13">
        <v>6</v>
      </c>
      <c r="D8" s="36" t="str">
        <f>VLOOKUP(B8,Products!$A$1:$C$7, 2,0)</f>
        <v>Product A</v>
      </c>
      <c r="E8" s="10">
        <f>VLOOKUP(B8,Products!$A$1:$C$7,3,0)</f>
        <v>120</v>
      </c>
      <c r="F8" s="10">
        <f t="shared" si="0"/>
        <v>720</v>
      </c>
      <c r="G8" s="31" t="str">
        <f>IF(ISNA(VLOOKUP(B8,Products!$A$2:$A$8,1,0)),"Does Not Exist","Exists")</f>
        <v>Exists</v>
      </c>
      <c r="H8" s="35">
        <f>Orders!E8-Orders!E8*10%</f>
        <v>108</v>
      </c>
    </row>
    <row r="9" spans="1:15" x14ac:dyDescent="0.3">
      <c r="A9" s="13">
        <v>8</v>
      </c>
      <c r="B9" s="13">
        <v>105</v>
      </c>
      <c r="C9" s="13">
        <v>5</v>
      </c>
      <c r="D9" s="36" t="str">
        <f>VLOOKUP(B9,Products!$A$1:$C$7, 2,0)</f>
        <v>Product E</v>
      </c>
      <c r="E9" s="10">
        <f>VLOOKUP(B9,Products!$A$1:$C$7,3,0)</f>
        <v>220</v>
      </c>
      <c r="F9" s="10">
        <f t="shared" si="0"/>
        <v>1100</v>
      </c>
      <c r="G9" s="31" t="str">
        <f>IF(ISNA(VLOOKUP(B9,Products!$A$2:$A$8,1,0)),"Does Not Exist","Exists")</f>
        <v>Exists</v>
      </c>
      <c r="H9" s="35">
        <f>Orders!E9-Orders!E9*10%</f>
        <v>198</v>
      </c>
    </row>
    <row r="10" spans="1:15" x14ac:dyDescent="0.3">
      <c r="A10" s="18"/>
      <c r="B10" s="18"/>
      <c r="C10" s="18"/>
      <c r="D10" s="19"/>
      <c r="E10" s="19"/>
      <c r="F10" s="18"/>
      <c r="G10" s="18"/>
      <c r="H10" s="19"/>
      <c r="I10" s="17"/>
    </row>
    <row r="11" spans="1:15" x14ac:dyDescent="0.3">
      <c r="A11" s="6" t="s">
        <v>9</v>
      </c>
      <c r="B11" s="7"/>
      <c r="C11" s="7"/>
      <c r="D11" s="7"/>
      <c r="E11" s="7"/>
      <c r="F11" s="17"/>
      <c r="G11" s="17"/>
      <c r="H11" s="17"/>
      <c r="I11" s="17"/>
    </row>
    <row r="12" spans="1:15" x14ac:dyDescent="0.3">
      <c r="A12" s="8" t="s">
        <v>10</v>
      </c>
      <c r="B12" s="9"/>
      <c r="C12" s="9"/>
      <c r="D12" s="9"/>
      <c r="E12" s="9"/>
      <c r="F12" s="9"/>
      <c r="G12" s="9"/>
      <c r="H12" s="9"/>
      <c r="I12" s="17"/>
      <c r="J12" s="17"/>
      <c r="K12" s="17"/>
      <c r="L12" s="17"/>
      <c r="M12" s="17"/>
      <c r="N12" s="17"/>
      <c r="O12" s="17"/>
    </row>
    <row r="13" spans="1:15" x14ac:dyDescent="0.3">
      <c r="A13" s="32" t="s">
        <v>11</v>
      </c>
      <c r="B13" s="33"/>
      <c r="C13" s="33"/>
      <c r="D13" s="33"/>
      <c r="E13" s="33"/>
      <c r="F13" s="33"/>
      <c r="G13" s="33"/>
      <c r="J13" s="17"/>
    </row>
    <row r="14" spans="1:15" x14ac:dyDescent="0.3">
      <c r="A14" s="11" t="s">
        <v>12</v>
      </c>
      <c r="B14" s="12"/>
      <c r="C14" s="12"/>
      <c r="D14" s="12"/>
      <c r="E14" s="12"/>
      <c r="F14" s="12"/>
      <c r="G14" s="12"/>
      <c r="H14" s="17"/>
      <c r="I14" s="17"/>
      <c r="J14" s="17"/>
      <c r="K14" s="17"/>
      <c r="L14" s="17"/>
    </row>
    <row r="15" spans="1:15" x14ac:dyDescent="0.3">
      <c r="A15" s="27" t="s">
        <v>13</v>
      </c>
      <c r="B15" s="27"/>
      <c r="C15" s="27"/>
      <c r="D15" s="27"/>
      <c r="E15" s="27"/>
      <c r="F15" s="27"/>
      <c r="G15" s="27"/>
      <c r="H15" s="28"/>
      <c r="I15" s="28"/>
      <c r="J15" s="17"/>
      <c r="K15" s="1"/>
      <c r="L15" s="1"/>
      <c r="M15" s="1"/>
      <c r="N15" s="1"/>
    </row>
    <row r="16" spans="1:15" x14ac:dyDescent="0.3">
      <c r="A16" s="14" t="s">
        <v>14</v>
      </c>
      <c r="B16" s="14"/>
      <c r="C16" s="14"/>
      <c r="D16" s="14"/>
      <c r="E16" s="14"/>
      <c r="F16" s="14"/>
      <c r="G16" s="28"/>
      <c r="H16" s="28"/>
      <c r="I16" s="28"/>
      <c r="J16" s="1"/>
      <c r="K16" s="1"/>
    </row>
    <row r="17" spans="1:11" x14ac:dyDescent="0.3">
      <c r="A17" s="21" t="s">
        <v>15</v>
      </c>
      <c r="B17" s="21"/>
      <c r="C17" s="21"/>
      <c r="D17" s="21"/>
      <c r="E17" s="21"/>
      <c r="F17" s="21"/>
      <c r="G17" s="28"/>
      <c r="H17" s="28"/>
      <c r="I17" s="28"/>
      <c r="J17" s="1"/>
      <c r="K17" s="1"/>
    </row>
    <row r="18" spans="1:11" x14ac:dyDescent="0.3">
      <c r="J18" s="1"/>
    </row>
    <row r="19" spans="1:11" x14ac:dyDescent="0.3">
      <c r="B19" s="22" t="s">
        <v>2</v>
      </c>
      <c r="C19" s="23" t="s">
        <v>25</v>
      </c>
      <c r="D19" s="22" t="s">
        <v>26</v>
      </c>
    </row>
    <row r="20" spans="1:11" x14ac:dyDescent="0.3">
      <c r="B20" s="13" t="s">
        <v>3</v>
      </c>
      <c r="C20" s="24">
        <f>SUMIF($D$2:$D$9,B20,$C$2:$C$9)</f>
        <v>8</v>
      </c>
      <c r="D20" s="3">
        <f>SUMIF($D$2:$D$9,B20,$F$2:$F$9)</f>
        <v>960</v>
      </c>
    </row>
    <row r="21" spans="1:11" x14ac:dyDescent="0.3">
      <c r="B21" s="13" t="s">
        <v>4</v>
      </c>
      <c r="C21" s="24">
        <f>SUMIF($D$2:$D$9,B21,$C$2:$C$9)</f>
        <v>5</v>
      </c>
      <c r="D21" s="3">
        <f t="shared" ref="D21:D25" si="1">SUMIF($D$2:$D$9,B21,$F$2:$F$9)</f>
        <v>750</v>
      </c>
      <c r="F21" s="25" t="s">
        <v>27</v>
      </c>
      <c r="G21" s="29"/>
    </row>
    <row r="22" spans="1:11" x14ac:dyDescent="0.3">
      <c r="B22" s="13" t="s">
        <v>5</v>
      </c>
      <c r="C22" s="24">
        <f>SUMIF($D$2:$D$9,B22,$C$2:$C$9)</f>
        <v>1</v>
      </c>
      <c r="D22" s="3">
        <f t="shared" si="1"/>
        <v>200</v>
      </c>
      <c r="F22" s="26">
        <f>MAX(D20:D25)</f>
        <v>1980</v>
      </c>
      <c r="G22" s="19"/>
    </row>
    <row r="23" spans="1:11" x14ac:dyDescent="0.3">
      <c r="B23" s="13" t="s">
        <v>6</v>
      </c>
      <c r="C23" s="24">
        <f>SUMIF($D$2:$D$9,B23,$C$2:$C$9)</f>
        <v>6</v>
      </c>
      <c r="D23" s="3">
        <f t="shared" si="1"/>
        <v>540</v>
      </c>
    </row>
    <row r="24" spans="1:11" x14ac:dyDescent="0.3">
      <c r="B24" s="13" t="s">
        <v>7</v>
      </c>
      <c r="C24" s="24">
        <f>SUMIF($D$2:$D$9,B24,$C$2:$C$9)</f>
        <v>9</v>
      </c>
      <c r="D24" s="3">
        <f t="shared" si="1"/>
        <v>1980</v>
      </c>
    </row>
    <row r="25" spans="1:11" x14ac:dyDescent="0.3">
      <c r="B25" s="13" t="s">
        <v>8</v>
      </c>
      <c r="C25" s="24">
        <f>SUMIF($D$2:$D$9,B25,$C$2:$C$9)</f>
        <v>3</v>
      </c>
      <c r="D25" s="3">
        <f t="shared" si="1"/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2026-10-07T07:43:18Z</dcterms:created>
  <dcterms:modified xsi:type="dcterms:W3CDTF">2026-10-09T07:51:35Z</dcterms:modified>
</cp:coreProperties>
</file>