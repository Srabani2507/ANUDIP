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nudip\Lab Work\"/>
    </mc:Choice>
  </mc:AlternateContent>
  <xr:revisionPtr revIDLastSave="0" documentId="8_{7E170330-9284-49F0-8293-5F49CF339887}" xr6:coauthVersionLast="47" xr6:coauthVersionMax="47" xr10:uidLastSave="{00000000-0000-0000-0000-000000000000}"/>
  <bookViews>
    <workbookView xWindow="-108" yWindow="-108" windowWidth="23256" windowHeight="12456" xr2:uid="{D9DD8DFD-924A-486C-A175-B183124534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2" i="1"/>
  <c r="G3" i="1"/>
  <c r="G4" i="1"/>
  <c r="G5" i="1"/>
  <c r="G6" i="1"/>
  <c r="G7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<sst xmlns="http://schemas.openxmlformats.org/spreadsheetml/2006/main" count="34" uniqueCount="32">
  <si>
    <t>ProductID</t>
  </si>
  <si>
    <t>Product</t>
  </si>
  <si>
    <t>Sales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</si>
  <si>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</si>
  <si>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</si>
  <si>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</si>
  <si>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</si>
  <si>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</si>
  <si>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</si>
  <si>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</si>
  <si>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</si>
  <si>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</si>
  <si>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</si>
  <si>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 xml:space="preserve">East </t>
  </si>
  <si>
    <t>West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</si>
  <si>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</si>
  <si>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 get 5% commission.</t>
  </si>
  <si>
    <t>4. Use the IF function to calculate a bonus amount. If sales met or exceeded the target, the bonus is 10% of sales; otherwise its 5%.</t>
  </si>
  <si>
    <t>1. Use the IF function to evaluate whether each product met its sales target.</t>
  </si>
  <si>
    <t>5. Use the IF function to categorize sales performance as "Excellent" (&gt;=200), "Good" (&gt;=150), or "Needs Improvement" (&lt;150).</t>
  </si>
  <si>
    <t>6. Use the IF function 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</si>
  <si>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its $300.</t>
  </si>
  <si>
    <t>8. Use the IF function to mark high performers. A product is a high performer if its sales are in the top 25% of all sales.</t>
  </si>
  <si>
    <t>Target Met</t>
  </si>
  <si>
    <t>Regional Bonus</t>
  </si>
  <si>
    <t>Commission Rate</t>
  </si>
  <si>
    <t>Bonus Amount</t>
  </si>
  <si>
    <t>Performance</t>
  </si>
  <si>
    <t>Price Tier</t>
  </si>
  <si>
    <t>Year-End Bonus</t>
  </si>
  <si>
    <t>Performer Type</t>
  </si>
  <si>
    <t>Questions: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</si>
</sst>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EC732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0" fillId="4" borderId="0" xfId="0" applyFill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0" xfId="0" applyFill="1"/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9" fontId="0" fillId="4" borderId="1" xfId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10" borderId="0" xfId="0" applyFont="1" applyFill="1"/>
    <xf numFmtId="0" fontId="1" fillId="6" borderId="0" xfId="0" applyFont="1" applyFill="1"/>
    <xf numFmtId="0" fontId="1" fillId="8" borderId="0" xfId="0" applyFont="1" applyFill="1"/>
    <xf numFmtId="0" fontId="1" fillId="7" borderId="0" xfId="0" applyFont="1" applyFill="1"/>
    <xf numFmtId="0" fontId="0" fillId="0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99FF"/>
      <color rgb="FFFFCCFF"/>
      <color rgb="FFEC7320"/>
      <color rgb="FFFF9999"/>
      <color rgb="FF9966FF"/>
      <color rgb="FFFF66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5205-4A50-42E4-8ED0-9E4621254156}">
  <dimension ref="A1:M18"/>
  <sheetViews>
    <sheetView tabSelected="1" zoomScaleNormal="100" workbookViewId="0">
      <selection activeCell="N22" sqref="N22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5.21875" bestFit="1" customWidth="1"/>
    <col min="4" max="4" width="6.33203125" bestFit="1" customWidth="1"/>
    <col min="5" max="5" width="6.77734375" bestFit="1" customWidth="1"/>
    <col min="6" max="6" width="10.21875" bestFit="1" customWidth="1"/>
    <col min="7" max="7" width="14" bestFit="1" customWidth="1"/>
    <col min="8" max="8" width="15.5546875" bestFit="1" customWidth="1"/>
    <col min="9" max="9" width="13.6640625" bestFit="1" customWidth="1"/>
    <col min="10" max="10" width="17.77734375" bestFit="1" customWidth="1"/>
    <col min="11" max="11" width="9.88671875" customWidth="1"/>
    <col min="12" max="12" width="14.33203125" bestFit="1" customWidth="1"/>
    <col min="13" max="13" width="14.21875" bestFit="1" customWidth="1"/>
  </cols>
  <sheetData>
    <row r="1" spans="1:13" ht="21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4" t="s">
        <v>23</v>
      </c>
      <c r="G1" s="6" t="s">
        <v>24</v>
      </c>
      <c r="H1" s="8" t="s">
        <v>25</v>
      </c>
      <c r="I1" s="9" t="s">
        <v>26</v>
      </c>
      <c r="J1" s="15" t="s">
        <v>27</v>
      </c>
      <c r="K1" s="11" t="s">
        <v>28</v>
      </c>
      <c r="L1" s="13" t="s">
        <v>29</v>
      </c>
      <c r="M1" s="12" t="s">
        <v>30</v>
      </c>
    </row>
    <row r="2" spans="1:13" x14ac:dyDescent="0.3">
      <c r="A2" s="1">
        <v>101</v>
      </c>
      <c r="B2" s="1" t="s">
        <v>5</v>
      </c>
      <c r="C2" s="1">
        <v>120</v>
      </c>
      <c r="D2" s="1">
        <v>150</v>
      </c>
      <c r="E2" s="1" t="s">
        <v>11</v>
      </c>
      <c r="F2" s="16" t="str">
        <f>IF(C2&gt;=D2, "Yes", "No")</f>
        <v>No</v>
      </c>
      <c r="G2" s="17" t="str">
        <f>IF(AND(E2="North",C2&gt;200),"Eligible","Not Eligible")</f>
        <v>Not Eligible</v>
      </c>
      <c r="H2" s="18">
        <f>IF(C2&gt;=200, 10%, IF(C2&gt;=150, 7%, 5%))</f>
        <v>0.05</v>
      </c>
      <c r="I2" s="19">
        <f>IF(C2&gt;=D2, C2*10%, C2*5%)</f>
        <v>6</v>
      </c>
      <c r="J2" s="20" t="str">
        <f>IF(C2&gt;=200, "Excellent", IF(C2&gt;=150, "Good", "Needs Improvement"))</f>
        <v>Needs Improvement</v>
      </c>
      <c r="K2" s="21" t="str">
        <f>IF(C2&gt;200,"High",IF(C2&gt;=100,"Medium","Low"))</f>
        <v>Medium</v>
      </c>
      <c r="L2" s="22" t="str">
        <f>IF(AND(C2&gt;=150, E2="North"), "$500", "$300")</f>
        <v>$300</v>
      </c>
      <c r="M2" s="23" t="str">
        <f>IF(C2&gt;=_xlfn.PERCENTILE.INC($C$2:$C$7, 75%), "High Performer", "Low Performer")</f>
        <v>Low Performer</v>
      </c>
    </row>
    <row r="3" spans="1:13" x14ac:dyDescent="0.3">
      <c r="A3" s="1">
        <v>102</v>
      </c>
      <c r="B3" s="1" t="s">
        <v>6</v>
      </c>
      <c r="C3" s="1">
        <v>150</v>
      </c>
      <c r="D3" s="1">
        <v>140</v>
      </c>
      <c r="E3" s="1" t="s">
        <v>12</v>
      </c>
      <c r="F3" s="16" t="str">
        <f t="shared" ref="F3:F7" si="0">IF(C3&gt;=D3, "Yes", "No")</f>
        <v>Yes</v>
      </c>
      <c r="G3" s="17" t="str">
        <f t="shared" ref="G3:G7" si="1">IF(AND(TRIM(E3)="North",C3&gt;200),"Eligible","Not Eligible")</f>
        <v>Not Eligible</v>
      </c>
      <c r="H3" s="18">
        <f t="shared" ref="H3:H7" si="2">IF(C3&gt;=200, 10%, IF(C3&gt;=150, 7%, 5%))</f>
        <v>7.0000000000000007E-2</v>
      </c>
      <c r="I3" s="19">
        <f t="shared" ref="I3:I7" si="3">IF(C3&gt;=D3, C3*10%, C3*5%)</f>
        <v>15</v>
      </c>
      <c r="J3" s="20" t="str">
        <f t="shared" ref="J3:J7" si="4">IF(C3&gt;=200, "Excellent", IF(C3&gt;=150, "Good", "Needs Improvement"))</f>
        <v>Good</v>
      </c>
      <c r="K3" s="21" t="str">
        <f t="shared" ref="K3:K7" si="5">IF(C3&gt;200,"High",IF(C3&gt;=100,"Medium","Low"))</f>
        <v>Medium</v>
      </c>
      <c r="L3" s="22" t="str">
        <f t="shared" ref="L3:L7" si="6">IF(AND(C3&gt;=150, E3="North"), "$500", "$300")</f>
        <v>$300</v>
      </c>
      <c r="M3" s="23" t="str">
        <f t="shared" ref="M3:M7" si="7">IF(C3&gt;=_xlfn.PERCENTILE.INC($C$2:$C$7, 75%), "High Performer", "Low Performer")</f>
        <v>Low Performer</v>
      </c>
    </row>
    <row r="4" spans="1:13" x14ac:dyDescent="0.3">
      <c r="A4" s="1">
        <v>103</v>
      </c>
      <c r="B4" s="1" t="s">
        <v>7</v>
      </c>
      <c r="C4" s="1">
        <v>200</v>
      </c>
      <c r="D4" s="1">
        <v>200</v>
      </c>
      <c r="E4" s="1" t="s">
        <v>13</v>
      </c>
      <c r="F4" s="16" t="str">
        <f t="shared" si="0"/>
        <v>Yes</v>
      </c>
      <c r="G4" s="17" t="str">
        <f t="shared" si="1"/>
        <v>Not Eligible</v>
      </c>
      <c r="H4" s="18">
        <f t="shared" si="2"/>
        <v>0.1</v>
      </c>
      <c r="I4" s="19">
        <f t="shared" si="3"/>
        <v>20</v>
      </c>
      <c r="J4" s="20" t="str">
        <f t="shared" si="4"/>
        <v>Excellent</v>
      </c>
      <c r="K4" s="21" t="str">
        <f t="shared" si="5"/>
        <v>Medium</v>
      </c>
      <c r="L4" s="22" t="str">
        <f t="shared" si="6"/>
        <v>$300</v>
      </c>
      <c r="M4" s="23" t="str">
        <f t="shared" si="7"/>
        <v>High Performer</v>
      </c>
    </row>
    <row r="5" spans="1:13" x14ac:dyDescent="0.3">
      <c r="A5" s="1">
        <v>104</v>
      </c>
      <c r="B5" s="1" t="s">
        <v>8</v>
      </c>
      <c r="C5" s="1">
        <v>90</v>
      </c>
      <c r="D5" s="1">
        <v>100</v>
      </c>
      <c r="E5" s="1" t="s">
        <v>14</v>
      </c>
      <c r="F5" s="16" t="str">
        <f t="shared" si="0"/>
        <v>No</v>
      </c>
      <c r="G5" s="17" t="str">
        <f t="shared" si="1"/>
        <v>Not Eligible</v>
      </c>
      <c r="H5" s="18">
        <f t="shared" si="2"/>
        <v>0.05</v>
      </c>
      <c r="I5" s="19">
        <f t="shared" si="3"/>
        <v>4.5</v>
      </c>
      <c r="J5" s="20" t="str">
        <f t="shared" si="4"/>
        <v>Needs Improvement</v>
      </c>
      <c r="K5" s="21" t="str">
        <f t="shared" si="5"/>
        <v>Low</v>
      </c>
      <c r="L5" s="22" t="str">
        <f t="shared" si="6"/>
        <v>$300</v>
      </c>
      <c r="M5" s="23" t="str">
        <f t="shared" si="7"/>
        <v>Low Performer</v>
      </c>
    </row>
    <row r="6" spans="1:13" x14ac:dyDescent="0.3">
      <c r="A6" s="1">
        <v>105</v>
      </c>
      <c r="B6" s="1" t="s">
        <v>9</v>
      </c>
      <c r="C6" s="1">
        <v>220</v>
      </c>
      <c r="D6" s="1">
        <v>210</v>
      </c>
      <c r="E6" s="1" t="s">
        <v>11</v>
      </c>
      <c r="F6" s="16" t="str">
        <f t="shared" si="0"/>
        <v>Yes</v>
      </c>
      <c r="G6" s="17" t="str">
        <f t="shared" si="1"/>
        <v>Eligible</v>
      </c>
      <c r="H6" s="18">
        <f t="shared" si="2"/>
        <v>0.1</v>
      </c>
      <c r="I6" s="19">
        <f t="shared" si="3"/>
        <v>22</v>
      </c>
      <c r="J6" s="20" t="str">
        <f t="shared" si="4"/>
        <v>Excellent</v>
      </c>
      <c r="K6" s="21" t="str">
        <f t="shared" si="5"/>
        <v>High</v>
      </c>
      <c r="L6" s="22" t="str">
        <f t="shared" si="6"/>
        <v>$500</v>
      </c>
      <c r="M6" s="23" t="str">
        <f t="shared" si="7"/>
        <v>High Performer</v>
      </c>
    </row>
    <row r="7" spans="1:13" x14ac:dyDescent="0.3">
      <c r="A7" s="1">
        <v>106</v>
      </c>
      <c r="B7" s="1" t="s">
        <v>10</v>
      </c>
      <c r="C7" s="1">
        <v>130</v>
      </c>
      <c r="D7" s="1">
        <v>160</v>
      </c>
      <c r="E7" s="1" t="s">
        <v>12</v>
      </c>
      <c r="F7" s="16" t="str">
        <f t="shared" si="0"/>
        <v>No</v>
      </c>
      <c r="G7" s="17" t="str">
        <f t="shared" si="1"/>
        <v>Not Eligible</v>
      </c>
      <c r="H7" s="18">
        <f t="shared" si="2"/>
        <v>0.05</v>
      </c>
      <c r="I7" s="19">
        <f t="shared" si="3"/>
        <v>6.5</v>
      </c>
      <c r="J7" s="20" t="str">
        <f t="shared" si="4"/>
        <v>Needs Improvement</v>
      </c>
      <c r="K7" s="21" t="str">
        <f t="shared" si="5"/>
        <v>Medium</v>
      </c>
      <c r="L7" s="22" t="str">
        <f t="shared" si="6"/>
        <v>$300</v>
      </c>
      <c r="M7" s="23" t="str">
        <f t="shared" si="7"/>
        <v>Low Performer</v>
      </c>
    </row>
    <row r="10" spans="1:13" x14ac:dyDescent="0.3">
      <c r="A10" s="2" t="s">
        <v>31</v>
      </c>
    </row>
    <row r="11" spans="1:13" x14ac:dyDescent="0.3">
      <c r="A11" s="24" t="s">
        <v>18</v>
      </c>
      <c r="B11" s="3"/>
      <c r="C11" s="3"/>
      <c r="D11" s="3"/>
      <c r="E11" s="3"/>
      <c r="F11" s="3"/>
      <c r="G11" s="3"/>
      <c r="H11" s="3"/>
    </row>
    <row r="12" spans="1:13" x14ac:dyDescent="0.3">
      <c r="A12" s="25" t="s">
        <v>15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32"/>
    </row>
    <row r="13" spans="1:13" x14ac:dyDescent="0.3">
      <c r="A13" s="26" t="s">
        <v>16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3">
      <c r="A14" s="27" t="s">
        <v>17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"/>
    </row>
    <row r="15" spans="1:13" x14ac:dyDescent="0.3">
      <c r="A15" s="28" t="s">
        <v>19</v>
      </c>
      <c r="B15" s="28"/>
      <c r="C15" s="28"/>
      <c r="D15" s="28"/>
      <c r="E15" s="28"/>
      <c r="F15" s="28"/>
      <c r="G15" s="28"/>
      <c r="H15" s="28"/>
      <c r="I15" s="28"/>
      <c r="J15" s="28"/>
      <c r="K15" s="2"/>
      <c r="L15" s="2"/>
    </row>
    <row r="16" spans="1:13" x14ac:dyDescent="0.3">
      <c r="A16" s="29" t="s">
        <v>20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10"/>
    </row>
    <row r="17" spans="1:12" x14ac:dyDescent="0.3">
      <c r="A17" s="30" t="s">
        <v>21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2"/>
    </row>
    <row r="18" spans="1:12" x14ac:dyDescent="0.3">
      <c r="A18" s="31" t="s">
        <v>22</v>
      </c>
      <c r="B18" s="31"/>
      <c r="C18" s="31"/>
      <c r="D18" s="31"/>
      <c r="E18" s="31"/>
      <c r="F18" s="31"/>
      <c r="G18" s="31"/>
      <c r="H18" s="31"/>
      <c r="I18" s="31"/>
      <c r="J18" s="31"/>
      <c r="K18" s="2"/>
      <c r="L1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Rupak Sarkar</dc:creator>
  <cp:lastModifiedBy>Srabani Kar</cp:lastModifiedBy>
  <dcterms:created xsi:type="dcterms:W3CDTF">2026-09-29T08:15:37Z</dcterms:created>
  <dcterms:modified xsi:type="dcterms:W3CDTF">2026-09-30T07:06:29Z</dcterms:modified>
</cp:coreProperties>
</file>